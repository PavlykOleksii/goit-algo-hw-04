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filterPrivacy="1" defaultThemeVersion="166925"/>
  <xr:revisionPtr revIDLastSave="0" documentId="8_{55B67ABE-1221-46AD-A53F-3CBB046E1EC7}" xr6:coauthVersionLast="47" xr6:coauthVersionMax="47" xr10:uidLastSave="{00000000-0000-0000-0000-000000000000}"/>
  <bookViews>
    <workbookView xWindow="-120" yWindow="-120" windowWidth="29040" windowHeight="15720" tabRatio="731" firstSheet="2" activeTab="2" xr2:uid="{6B50C8E4-3525-4426-99DF-C73DE45C0181}"/>
  </bookViews>
  <sheets>
    <sheet name="Напрями УІБ" sheetId="5" r:id="rId1"/>
    <sheet name="Штат УІБ" sheetId="8" r:id="rId2"/>
    <sheet name="Перелік процесів ІБ" sheetId="4" r:id="rId3"/>
  </sheets>
  <definedNames>
    <definedName name="_xlnm._FilterDatabase" localSheetId="2" hidden="1">'Перелік процесів ІБ'!$A$2:$AA$197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97" i="4" l="1"/>
  <c r="Y197" i="4"/>
  <c r="X197" i="4"/>
  <c r="W197" i="4"/>
  <c r="V197" i="4"/>
  <c r="T197" i="4"/>
  <c r="S197" i="4"/>
  <c r="R197" i="4"/>
  <c r="Q197" i="4"/>
  <c r="P197" i="4"/>
  <c r="M197" i="4"/>
  <c r="L197" i="4"/>
  <c r="K197" i="4"/>
  <c r="J197" i="4"/>
  <c r="I197" i="4"/>
  <c r="H197" i="4"/>
  <c r="G197" i="4"/>
  <c r="F197" i="4"/>
  <c r="E197" i="4"/>
  <c r="D197" i="4"/>
  <c r="N197" i="4"/>
  <c r="O197" i="4" l="1"/>
  <c r="AA197" i="4"/>
  <c r="B5" i="5"/>
  <c r="B4" i="5"/>
  <c r="B2" i="5"/>
  <c r="B3" i="5"/>
</calcChain>
</file>

<file path=xl/sharedStrings.xml><?xml version="1.0" encoding="utf-8"?>
<sst xmlns="http://schemas.openxmlformats.org/spreadsheetml/2006/main" count="567" uniqueCount="326">
  <si>
    <t>Напрям</t>
  </si>
  <si>
    <t>Кількість завдань</t>
  </si>
  <si>
    <t>Напрям методології та контролю діяльності</t>
  </si>
  <si>
    <t>Напрям захисту та контролю інформаційно-комунікаційних систем</t>
  </si>
  <si>
    <t>Напрям моніторингу та реагування на інциденти ІБ</t>
  </si>
  <si>
    <t>Напрям адміністрування засобів</t>
  </si>
  <si>
    <t>Підрозділ</t>
  </si>
  <si>
    <t>Посада</t>
  </si>
  <si>
    <t>ПІП</t>
  </si>
  <si>
    <t>УПРАВЛІННЯ ІНФОРМАЦІЙНОЇ БЕЗПЕКИ</t>
  </si>
  <si>
    <t>Начальник управління</t>
  </si>
  <si>
    <t>Косенко Сергій</t>
  </si>
  <si>
    <t>напрям методології та контролю діяльності</t>
  </si>
  <si>
    <t>керівник напряму методології та контролю діяльності</t>
  </si>
  <si>
    <t>Полудненко Наталя</t>
  </si>
  <si>
    <t>Старший керівник програм</t>
  </si>
  <si>
    <t>Лавринович Дмитро</t>
  </si>
  <si>
    <t>Керівник програм</t>
  </si>
  <si>
    <t>Бєдін Євгеній</t>
  </si>
  <si>
    <t>Провідний спеціаліст</t>
  </si>
  <si>
    <t>Ясінська Яна</t>
  </si>
  <si>
    <t>Мартиненко Ірина</t>
  </si>
  <si>
    <t>напрям захисту та контролю інформаційно-комунікаційних систем</t>
  </si>
  <si>
    <t>Керівник напряму захисту та контролю інформаційно-комунікаційних систем</t>
  </si>
  <si>
    <t>Павлик Олексій</t>
  </si>
  <si>
    <t>Жук Ілля</t>
  </si>
  <si>
    <t>Василевський Сергій</t>
  </si>
  <si>
    <t>Головний спеціаліст</t>
  </si>
  <si>
    <t>Шаповаленко Олександр</t>
  </si>
  <si>
    <t>Вакансія</t>
  </si>
  <si>
    <t>Мар'янська Оксана</t>
  </si>
  <si>
    <t>Бурда Вячеслав</t>
  </si>
  <si>
    <t>напрям моніторингу та реагування на інциденти інформаційної безпеки</t>
  </si>
  <si>
    <t>Керівник напряму моніторингу та реагування на інциденти інформаційної безпеки</t>
  </si>
  <si>
    <t>Мартиненко Віктор</t>
  </si>
  <si>
    <t>Сачівко Олексій</t>
  </si>
  <si>
    <t>Цібере Олександр</t>
  </si>
  <si>
    <t>Курочка Ігор</t>
  </si>
  <si>
    <t>Старший спеціаліст</t>
  </si>
  <si>
    <t>Сізіков Володимир</t>
  </si>
  <si>
    <t>Гурджия Валерія</t>
  </si>
  <si>
    <t>напрям адміністрування засобів</t>
  </si>
  <si>
    <t>Керівник напряму адміністрування засобів</t>
  </si>
  <si>
    <t>Голяка Олександр</t>
  </si>
  <si>
    <t>Гончаров Олег</t>
  </si>
  <si>
    <t>Іващенко Євген</t>
  </si>
  <si>
    <t>Грипич Лариса</t>
  </si>
  <si>
    <t>Котельчук Марія (декрет)</t>
  </si>
  <si>
    <t>Процес/ВНД</t>
  </si>
  <si>
    <t>Короткий опис</t>
  </si>
  <si>
    <t>Напрямок/Роль</t>
  </si>
  <si>
    <t>Полудненко Н.В.</t>
  </si>
  <si>
    <t>Бєдін Є.</t>
  </si>
  <si>
    <t>Ясінська Я.</t>
  </si>
  <si>
    <t>Мартиненко І.</t>
  </si>
  <si>
    <t>Павлик О.</t>
  </si>
  <si>
    <t>Василевський С.</t>
  </si>
  <si>
    <t>Жук І.</t>
  </si>
  <si>
    <t>Шаповаленко О.</t>
  </si>
  <si>
    <t>Мар'янська О.</t>
  </si>
  <si>
    <t>Бурда В.</t>
  </si>
  <si>
    <t>Головний спеціаліст (вакансія)</t>
  </si>
  <si>
    <t>Мартиненко В.Л.</t>
  </si>
  <si>
    <t>Курочка І.</t>
  </si>
  <si>
    <t>Сізіков В.</t>
  </si>
  <si>
    <t>Сачівко О.</t>
  </si>
  <si>
    <t>Д. Лавринович</t>
  </si>
  <si>
    <t>Цібере О.</t>
  </si>
  <si>
    <t>Гурджия В.В.</t>
  </si>
  <si>
    <t>Голяка О.</t>
  </si>
  <si>
    <t>Гончаров О.</t>
  </si>
  <si>
    <t>Грипич Л.</t>
  </si>
  <si>
    <t>Іващенко Є.</t>
  </si>
  <si>
    <t>Котельчук М.</t>
  </si>
  <si>
    <t>Формалізація процесів та процедур ІБ</t>
  </si>
  <si>
    <t>Розробка та імплементація ВНД щодо функціональних процесів ІБ</t>
  </si>
  <si>
    <t>Ананіз ВНД та інших документів банку на предмет їх відповіності чинним регуляторним вимогам та ін.</t>
  </si>
  <si>
    <t>Зовнішні (не профільні) задачі, що виконуються УІБ</t>
  </si>
  <si>
    <t>Ризик координатор (оперризики)</t>
  </si>
  <si>
    <t>Підготовка та подача KRI</t>
  </si>
  <si>
    <t>Проведення внутрішніх інструктажів щодо пожежної безпеки</t>
  </si>
  <si>
    <t>Проведення внутрішніх інструктажів щодо охорони праці</t>
  </si>
  <si>
    <t>Табелювання робочого часу</t>
  </si>
  <si>
    <t>Підготовка відповідей УІБ на зовнішні запити з боку підрозділів Банку</t>
  </si>
  <si>
    <t>Підготовка відповідей УІБ на зовнішні запити з боку третіх сторін</t>
  </si>
  <si>
    <t>Загальне управління технічними засобами УІБ</t>
  </si>
  <si>
    <t>Адміністрування серверів УІБ (оновлення, конфігурування та ін.)</t>
  </si>
  <si>
    <t>Адміністрування власних засобів віртуалізації</t>
  </si>
  <si>
    <t>Конфігурування мережевих засобів УІБ</t>
  </si>
  <si>
    <t>Розробка та тестування DRP, загальне забезпечення неперервності діяльності (BCP) технічних засобів</t>
  </si>
  <si>
    <t>Підвищення обізнаності щодо ІБ</t>
  </si>
  <si>
    <t>розробка методології та ВНД</t>
  </si>
  <si>
    <t>Розробка комплексного плану підвищення обізнаності</t>
  </si>
  <si>
    <t>Розробка електронних курсів для співробітнків</t>
  </si>
  <si>
    <t>Розробка наглядних засобів комунікації (екранні заставки та ін.)</t>
  </si>
  <si>
    <t>Розробка анкет та тестів щодо контролю рівня обізнаності</t>
  </si>
  <si>
    <t>Проведення заходів щодо інструктажів та навчання персоналу, анкетування та ін.</t>
  </si>
  <si>
    <t>Організація підвищення професійних компетенцій для співробітнкиів УІБ</t>
  </si>
  <si>
    <t>Організація підвищення компетенцій для розробників ПЗ</t>
  </si>
  <si>
    <t>Проектний менеджмент УІБ</t>
  </si>
  <si>
    <t>Розробка дорожної карти розвитку УІБ</t>
  </si>
  <si>
    <t>Розробка BRD та інших ВНД щодо проектів розвитку СУІБ</t>
  </si>
  <si>
    <t>Реалізація проектів розвитку СУІБ відповідно до Стратегії</t>
  </si>
  <si>
    <t>Участь УІБ в проектах ІТ та ТО</t>
  </si>
  <si>
    <t>Функції УІБ щодо відповідності регуляторним вимогам</t>
  </si>
  <si>
    <t>Організація заходів щодо відповідності вимогам НБУ (ПНБУ 4, ПНБУ 95 та ін.)</t>
  </si>
  <si>
    <t>Організація заходів щодо відповідності вимогам PCI DSS</t>
  </si>
  <si>
    <t>Організація заходів щодо відповідності вимогам SWIFT</t>
  </si>
  <si>
    <t>Атестація та сертифікація на відповідність технічним вимогам ДССЗЗІ - КСЗІ, екранування тощо</t>
  </si>
  <si>
    <t>Управління ризиками ІБ (щорічна оцінка ризиків та експертиза в рамках Incident Management та Change Management)</t>
  </si>
  <si>
    <t>інвентаризація та категоріювання інформаційних ресурсів банк</t>
  </si>
  <si>
    <t>виявлення вразливостей в критичних бізнес-процесах</t>
  </si>
  <si>
    <t>виявлення вразливостей та загроз в засобах автоматизації (інформаційних системах) критичних бізнес-процесів</t>
  </si>
  <si>
    <t>ідентифікація відповідних ризиків ІБ</t>
  </si>
  <si>
    <t>оцінка ймовірності реалізації ризиків</t>
  </si>
  <si>
    <t>оцінка наслідків в разі реалізації ризиків</t>
  </si>
  <si>
    <t>розробка плану міінмізації виявлених ризиків</t>
  </si>
  <si>
    <t>затвердження плану мінімізації ризиків</t>
  </si>
  <si>
    <t>реалізація плану заходів</t>
  </si>
  <si>
    <t>контроль впровадження плану заходів</t>
  </si>
  <si>
    <t>регулярні заміри щодо поточного стану рівня ризиків ІБ та звітування</t>
  </si>
  <si>
    <t>Классифікація інформації та інформаційних ресурсів</t>
  </si>
  <si>
    <t>розробка методів ручного та автоматизованого катигоріювання класифікації інформаційних ресурсів (документів)</t>
  </si>
  <si>
    <t>впровадежння та адміністрування технічних методів класифікації Azure Information Protection</t>
  </si>
  <si>
    <t>контроль застосування технічних методів класифікації</t>
  </si>
  <si>
    <t>Управління інцидентами ІБ</t>
  </si>
  <si>
    <t>розробка протоколів реагування та ін.</t>
  </si>
  <si>
    <t>формування команд реагування на інциденти ІБ</t>
  </si>
  <si>
    <t>організація навчання команд реагування</t>
  </si>
  <si>
    <t>впровадежння функцій моніторингу</t>
  </si>
  <si>
    <t>обробка, кореляція  та класифікація подій ІБ з метою виявлення інцидентів ІБ</t>
  </si>
  <si>
    <t>аналіз та класифікація виявлених інцидентів</t>
  </si>
  <si>
    <t>обробка виявлених інцидентів та реагування в рамках відповідних Протоколів реагування</t>
  </si>
  <si>
    <t>поглиблений аналіз подій в разі виявлення нестандартних інцидентів та розробка відповідного протоколу реагування</t>
  </si>
  <si>
    <t>оцінка наслідків щодо виявлених інцидентів</t>
  </si>
  <si>
    <t>розробка та реалізація заходів з метою уникнення повторних інцидентів</t>
  </si>
  <si>
    <t>Пошук індикаторів компрометації та загроз всередині інфраструктури Банку</t>
  </si>
  <si>
    <t>розробка організаційної та технічної архітектури SIEM | SOAR</t>
  </si>
  <si>
    <t>Впровадження та адміністрування SIEM</t>
  </si>
  <si>
    <t>Впровадження та адміністрування SOAR</t>
  </si>
  <si>
    <t>Налаштування дашбордів та інших засобів SIEM для моніторинга</t>
  </si>
  <si>
    <t>Налаштування засобів автоматизації реагування на кіберінциденти (actions) в SOAR</t>
  </si>
  <si>
    <t>Захист від зловмисного ПЗ</t>
  </si>
  <si>
    <t>розробка політик безпеки для імплементації в засобах безпеки</t>
  </si>
  <si>
    <t>розгортання засобів захисту від зловмисного коду</t>
  </si>
  <si>
    <t>адміністрування EDR для захисту серверів, включаючи супроводежння та контроль інсталляції та деінсталляції ендпойнтів, налаштування політик на ендпойнтах та та ін.</t>
  </si>
  <si>
    <t>адміністрування MS Defender, включаючи супроводежння та контроль інсталляції та деінсталляції ендпойнтів, налаштування політик на ендпойнтах та та ін.</t>
  </si>
  <si>
    <t>адміністрування Trend Micro Cloud One Security, включаючи супроводежння та контроль інсталляції та деінсталляції ендпойнтів, налаштування політик на ендпойнтах та та ін.</t>
  </si>
  <si>
    <t>адміністрування CheckPoint Sandblast, включаючи супроводежння та контроль інсталляції та деінсталляції ендпойнтів, налаштування політик на ендпойнтах та та ін.</t>
  </si>
  <si>
    <t>оновлення засобів, включаючи ендпойнти на ПК користувачів та/чи серверах</t>
  </si>
  <si>
    <t>моніторинг подій на засобах захисту</t>
  </si>
  <si>
    <t>реагування на аномальні події в засобах захисту від зловмисного коду</t>
  </si>
  <si>
    <t>Мережевий захист</t>
  </si>
  <si>
    <t>розробка архітектури мережевих засобів безпеки</t>
  </si>
  <si>
    <t>розробка технічної архітектури, що включає засоби AntDDoS, NGFW, WAF та ін. - для кожного ЦОД (Київ, Львів, AWS, Azure)</t>
  </si>
  <si>
    <t>Тестування та впровадження технічних засобів мережевої безпеки</t>
  </si>
  <si>
    <t>адміністрування AntiDDoS (onPrem)</t>
  </si>
  <si>
    <t>адміністрування AntiDDoS (Cloud)</t>
  </si>
  <si>
    <t>адміністрування NGFW Palo Alto (Київ, Львів, AWS)</t>
  </si>
  <si>
    <t>адміністрування FW CheckPoint</t>
  </si>
  <si>
    <t>адміністрування WAF F5 (onPrem)</t>
  </si>
  <si>
    <t>адміністрування NGFW Palo Alto (Azure)</t>
  </si>
  <si>
    <t>адміністрування WAF Cloud (AWS та ін.)</t>
  </si>
  <si>
    <t>адміністрування Sandbox</t>
  </si>
  <si>
    <t>моніторинг технічних засобів безпеки</t>
  </si>
  <si>
    <t>Реагування на аномальні події в засобах мережевої безпеки</t>
  </si>
  <si>
    <t>Безпечна розробка ПЗ</t>
  </si>
  <si>
    <t>інтеграція в SDLC, CI/CD процес розробки ПЗ</t>
  </si>
  <si>
    <t>аналіз змін, що плануються в застосунках, сервісах та ін.</t>
  </si>
  <si>
    <t>аналіз коду (код-ревью) застосунків з метою виявлення в них "закладок" та помилок</t>
  </si>
  <si>
    <t>перевірка готових застосунків в "sandbox" перед їх інсталяцією в мережі банку</t>
  </si>
  <si>
    <t>підготовка звітності щодо виконаних робіт</t>
  </si>
  <si>
    <t>Управління вразливостями ІБ</t>
  </si>
  <si>
    <t>розробка плану проведення заходів щодо виявлення вразливостей</t>
  </si>
  <si>
    <t>проведення сканувань мережевих об'єктів чи збір даних із ендпойнтів</t>
  </si>
  <si>
    <t>перевірка результатів на предмет фолз-позитиву</t>
  </si>
  <si>
    <t>формування звітів за разультатами перевірки</t>
  </si>
  <si>
    <t>планування робіт щодо усунення виявленгих вразливостей</t>
  </si>
  <si>
    <t>Організація робіт щодо проведення тестів на проникнення</t>
  </si>
  <si>
    <t>контроль виконання робіт щодо усунення вразливостей</t>
  </si>
  <si>
    <t>Контроль змін та конфігурацій</t>
  </si>
  <si>
    <t>створення "золотих образів" конфігурацій критичних систем та засобів</t>
  </si>
  <si>
    <t>впровадежння технічних заходів щодо контролю змін в критичному обладнанні</t>
  </si>
  <si>
    <t>відповідальний за зберігання еталонів ПЗ та конфігурацій</t>
  </si>
  <si>
    <t>моніторинг подій в засобах технічного контролю</t>
  </si>
  <si>
    <t>реагування при виявленні аномальних подій та несанкціонованих змін</t>
  </si>
  <si>
    <t>Управління засобами криптографічного захисту</t>
  </si>
  <si>
    <t>адміністрування ЦСК EJBCA (test)</t>
  </si>
  <si>
    <t>адміністрування ЦСК Cipher (Шифр PKI - old АБС Б2)</t>
  </si>
  <si>
    <t>адміністрування ЦСК Cipher (Шифр х.509 - new)</t>
  </si>
  <si>
    <t>адміністрування ЦСК iFobs (EJBCA)</t>
  </si>
  <si>
    <t>обробка запитів на сертифікацію криптоключів в ЦСК EJBCA</t>
  </si>
  <si>
    <t>обробка запитів на сертифікацію криптоключів в ЦСК Cipher</t>
  </si>
  <si>
    <t>обробка запитів на сертифікацію криптоключів в ЦСК iFobs</t>
  </si>
  <si>
    <t>обробка запитів на сертифікацію криптоключів в ЦСК АБС Б2</t>
  </si>
  <si>
    <t>підтримка користувачів при генеруванні криптоключів</t>
  </si>
  <si>
    <t>генерування криптоключів для ПЦ</t>
  </si>
  <si>
    <t>розподіл ключів ПЦ</t>
  </si>
  <si>
    <t>своєчасне відкликання криптоключів в разі їх коспрометації чи організаційно-штатних змін</t>
  </si>
  <si>
    <t>генерування та розподіл криптоключів для АТМ (оператор шифроключів)</t>
  </si>
  <si>
    <t>генерування та розподіл криптоключів для POS (оператор шифроключів)</t>
  </si>
  <si>
    <t>адміністратор захищених носіїв (eToken)</t>
  </si>
  <si>
    <t>адміністрування HSM SafeNet (Київ, Львів, AWS)</t>
  </si>
  <si>
    <t>адміністрування HSM Thales (Київ, Львів, AWS)</t>
  </si>
  <si>
    <t>Організація та супроводження процесу отримання співробітниками КЕП у зовнішніх КНЕДП</t>
  </si>
  <si>
    <t>Організація отримання SSL-сертифікатів із міжнародних CA</t>
  </si>
  <si>
    <t>Контроль доступу користувачів до інформаційних систем банку</t>
  </si>
  <si>
    <t>Інвентаризація інформаційних систем, методів авторизації та аутентифікації користувачів у них</t>
  </si>
  <si>
    <t>Розробка рольових моделей для інформаційних систем</t>
  </si>
  <si>
    <t>Розробка заходів щодо контролю доступу</t>
  </si>
  <si>
    <t>Розробка засобів автоматизації функцій управління та контролю доступу</t>
  </si>
  <si>
    <t>Впровадження засобів автоматизації управління та контролю доступу</t>
  </si>
  <si>
    <t>Роль Адміністратора контролю доступу в ІС</t>
  </si>
  <si>
    <t>Адміністрування системи управління доступом</t>
  </si>
  <si>
    <t>Внесення змін в рольову модель, розробка нових та зміни в існуючих маршрутах та ін.</t>
  </si>
  <si>
    <t>Виконнання функцій щодо контролю доступу автоматизованими засобами</t>
  </si>
  <si>
    <t>Виконнання функцій моніторингу щодо процедур контролю доступу</t>
  </si>
  <si>
    <t>Контроль доступу комп'ютерного обладання до мережі банку</t>
  </si>
  <si>
    <t>розробка технічних засобів контролю доступу обладнання до мережі банку</t>
  </si>
  <si>
    <t>впровадження технічних засобів для контролю доступу обладнання, карантину та блокування несанкціонованих підключено не авторизованого обладнання</t>
  </si>
  <si>
    <t>налаштування та адміністрування технічних засобів</t>
  </si>
  <si>
    <t>моніторинг подій в зазначених технічних засобах</t>
  </si>
  <si>
    <t>Захист від витоку конфіденційної інформації</t>
  </si>
  <si>
    <t>Розробка шаблонів, політик та інших заходів для мінімізації ризиків витоку конфіденційної інформації</t>
  </si>
  <si>
    <t>Технічна реалізація контролів та засобів для запобіганню витоку інформації (DLP)</t>
  </si>
  <si>
    <t>Адміністрування системи контролю витоку інформації MS PurView</t>
  </si>
  <si>
    <t>Розробка процесу використання змінних носіїв</t>
  </si>
  <si>
    <t>Адміністрування системи ідентифікації змінних носіїв</t>
  </si>
  <si>
    <t>Здійснення моніторингу та аналізу подій в разі виявлення спрацювання політик DLP</t>
  </si>
  <si>
    <t>Функції Адміністратор інформаційної безпеки НБУ</t>
  </si>
  <si>
    <t>Ведення документації щодо процесу генерації ключів АРМів НБУ</t>
  </si>
  <si>
    <t>Забезпечення функціонування АРМ ПМГК</t>
  </si>
  <si>
    <t>Ведення таблиці відкритих ключів АРМів НБУ та ін.</t>
  </si>
  <si>
    <t>Забезпечення комунікації між Банком та НБУ в частині регуляторних питань щодо криптоключів АРМів НБУ</t>
  </si>
  <si>
    <t>Проведення перевірок щодо умов зберігання та використання ключів АРМів НБУ</t>
  </si>
  <si>
    <t>Функції офіцерів безпеки SWIFT</t>
  </si>
  <si>
    <t>Left Security Officer</t>
  </si>
  <si>
    <t>Гарантоване знищення інформації</t>
  </si>
  <si>
    <t>Впровадження технічних засобів для гарантованого знищення інформації на електронних та паперових носіях</t>
  </si>
  <si>
    <t>Адміністратор процесу гарантованого знищення інформації</t>
  </si>
  <si>
    <t>Служба захисту інформації (КСЗІ - ДО, Спецвідділ, мобвідділ та ін.)</t>
  </si>
  <si>
    <t>Керівник служби захисту інформації</t>
  </si>
  <si>
    <t>Адміністратор інформаційної безпеки КСЗІ</t>
  </si>
  <si>
    <t>Адміністратор засобів захисту КСЗІ</t>
  </si>
  <si>
    <t>Порядок управління інцидентами ІБ</t>
  </si>
  <si>
    <t>Моніторинг подій ІБ, виявлення інцидентів ІБ та первинна обробка інцидентів ІБ.</t>
  </si>
  <si>
    <t>Оператор моніторингу ІБ</t>
  </si>
  <si>
    <t>Аналіз інцидентів.</t>
  </si>
  <si>
    <t>Аналітик ІБ</t>
  </si>
  <si>
    <t>Управління процесами моніторингу, аналізу, обробки та розслідування Інцидентів ІБ.</t>
  </si>
  <si>
    <t>Координатор Команди реагування</t>
  </si>
  <si>
    <t>Управління інцидентами УІБ.</t>
  </si>
  <si>
    <t>Учасник Команди реагування</t>
  </si>
  <si>
    <t>Виявлення та аналіз інцидентів.</t>
  </si>
  <si>
    <t xml:space="preserve">Ризик-координатор УІБ </t>
  </si>
  <si>
    <t>Політика  захисту від шкідливого програмного забезпечення</t>
  </si>
  <si>
    <t xml:space="preserve">Захист ІКС Банку від шкідливого ПЗ </t>
  </si>
  <si>
    <t xml:space="preserve">Адміністратор системи централізованого управління захистом кінцевих точок УІБ </t>
  </si>
  <si>
    <t>Порядок моніторингу та вимірювання ефективності СУІБ</t>
  </si>
  <si>
    <t>Налаштування параметрів систем моніторингу й підключення об’єктів моніторингу, реєстрація  події  ІБ, що мають негативні наслідки для Банку, як інциденти ІБ. Процес зміни параметрів обробки подій та проведення виключення або додавання нових об’єктів моніторингу.</t>
  </si>
  <si>
    <t>Відповідальний за моніторинг функціонування СУІБ</t>
  </si>
  <si>
    <t>Моніторингу застосовного законодавства з питань ІБ та ініціювання процесу актуалізації нормативних документів в рамках змін законодавства.</t>
  </si>
  <si>
    <t>Відповідальний за моніторинг законодавства з питань ІБ</t>
  </si>
  <si>
    <t xml:space="preserve">Ведення журналу вимірювань ефективності СУІБ,подання Звіту, щодо моніторингу та вимірювання ефективності СУІБ, перегляд та вдосконалення процесу моніторингу та оцінку ефективності СУІБ.  </t>
  </si>
  <si>
    <t>Відповідальний УІБ</t>
  </si>
  <si>
    <t>Порядок керування криптографічними ключами у системі процесингу АТ "УКРЕКСІМБАНК"</t>
  </si>
  <si>
    <t>Процес введення в роботу HSM.</t>
  </si>
  <si>
    <t>Адміністратори HSM</t>
  </si>
  <si>
    <t>Процес генерації та роботи з криптографічними ключами.</t>
  </si>
  <si>
    <t>Оператори шифроключів терміналів</t>
  </si>
  <si>
    <t>Процес управління доступом в Банку.</t>
  </si>
  <si>
    <t>Адміністратори захисту терміналів ГБ</t>
  </si>
  <si>
    <t>Порядок підвищення обізнаності співробітників в області інформаційної безпеки АТ «Укрексімбанк»</t>
  </si>
  <si>
    <t>Процес підвищення обізнаності співробітників Банку в області ІБ.</t>
  </si>
  <si>
    <t>Відповідальний за підвищення обізнаності в області ІБ</t>
  </si>
  <si>
    <t>Порядок управління вразливостями інформаційної безпеки в інформаційних системах АТ «Укрексімбанк»</t>
  </si>
  <si>
    <t>Планування, виявлення, аналізу вразливостей, виявлених недоліків, розробку і впровадження компенсуючих заходів, формування звітів та завдань на усунення виявлених недоліків, перевірку усунення недоліків та проведення коригувальних дій щодо покращення функціонування процесу.</t>
  </si>
  <si>
    <t>Відповідальний за аналіз вразливостей</t>
  </si>
  <si>
    <t>Усунення вразливості інформаційної безпеки в окремій ІС чи групі ІС (встановлює оновлення, змінює конфігурацію та ін.).</t>
  </si>
  <si>
    <t>Відповідальний за усунення вразливостей</t>
  </si>
  <si>
    <t>Порядок використання змінних носіїв електронної інформації АТ «Укрексімбанк»</t>
  </si>
  <si>
    <t>Процес контролю доступу, розглядає заявки на доступ та в рамках своїх компетенцій та повноважень приймає рішення щодо погодження чи відмови у наданні прав доступу.</t>
  </si>
  <si>
    <t>Відповідальний УІБ за контроль доступу</t>
  </si>
  <si>
    <t>Процес надання певних прав доступу користувачам в рамках відповідного сервісу.</t>
  </si>
  <si>
    <t>Відповідальний УІБ за надання прав доступу</t>
  </si>
  <si>
    <t>Процес ведення Реєстру авторизованих носіїв та здійснює дії щодо включення ідентифікаторів ЗНЕІ у відповідні технічні засоби.</t>
  </si>
  <si>
    <t>Відповідальний УІБ за Реєстр авторизованих носіїв</t>
  </si>
  <si>
    <t>Порядок надання доступу зовнішнім особам до інформаційних систем АТ «Укрексімбанк»</t>
  </si>
  <si>
    <t>Процес відкликання прав доступу Зовнішній особі.</t>
  </si>
  <si>
    <t>Відповідальний  працівник УІБ\ Відповідальний працівник ДІТ</t>
  </si>
  <si>
    <t>Порядок організації віддаленого доступу до інформаційно - комунікаційної системи АТ «Укрексімбанк»</t>
  </si>
  <si>
    <t>Підпроцес відкликання Віддаленого доступу.</t>
  </si>
  <si>
    <t>Адміністратор системи віддаленого доступу</t>
  </si>
  <si>
    <t>Процес організації Віддаленого доступу.</t>
  </si>
  <si>
    <t>Керівник  напряму  моніторингу та реагування на інциденти ІБ</t>
  </si>
  <si>
    <t>Підпроцес ініціювання відкликання Віддаленого доступу.</t>
  </si>
  <si>
    <t>УІБ/Начальник управління інформаційної безпеки</t>
  </si>
  <si>
    <t>Порядок організації доступу до інформаційних ресурсів в АТ «Укрексімбанк».</t>
  </si>
  <si>
    <t>Процес контроль надання прав доступу.</t>
  </si>
  <si>
    <t>Відповідальний працівник УІБ</t>
  </si>
  <si>
    <t>Порядок організації роботи системи збору, зберігання та аналізу подій інформаційної безпеки від інформаційних систем в АТ «Укрексімбанк»</t>
  </si>
  <si>
    <t>Підпроцес моніторингу  Подій ІБ щодо виявлення інцидентів інформаційної безпеки та Підпроцес аналізу Подій ІБ щодо виявлення інцидентів інформаційної безпеки.</t>
  </si>
  <si>
    <t>Адміністратор SIEM</t>
  </si>
  <si>
    <t>Забезпечення роботи системи SIEM та здійснення: розробку та вдосконалення правил кореляції Подій ІБ, розробку та вдосконалення правил виявлення Подій ІБ,  аналіз Подій ІБ.</t>
  </si>
  <si>
    <t>Аналітик SIEM</t>
  </si>
  <si>
    <t>Моніторинг Подій ІБ щодо виявлення інцидентів інформаційної безпеки; своєчасне інформування Аналітика SIEM про інциденти інформаційної безпеки; виконання вказівок Адміністраторів SIEM та Аналітиків SIEM.</t>
  </si>
  <si>
    <t>Оператор SIEM</t>
  </si>
  <si>
    <t>Порядок використання електронних довірчих послуг в АТ «Укрексімбанк»</t>
  </si>
  <si>
    <t>Організація процесу отримання кваліфікованих електронних довірчих послуг працівниками Банку.</t>
  </si>
  <si>
    <t>Відповідальний УІБ за процес використання довірчих послуг</t>
  </si>
  <si>
    <t>Виконання користувацького тестування Систем автоматизації (стосовно засобів криптографічних засобів захисту), яке впроваджується/оновлюється в Банку, що здійснюється до етапу впровадження Систем автоматизації (або оновлень) в продуктивну експлуатацію.</t>
  </si>
  <si>
    <t>Відповідальний УІБ за функціонування засобів КЗІ</t>
  </si>
  <si>
    <t>Порядок зберігання даних платіжних карток клієнтів на мережевих ресурсах АТ «Укрексімбанк»</t>
  </si>
  <si>
    <t>Адміністрування мережевих пристроїв безпеки в зоні CDE. участь у наповненні в межах компетенції УІБ та погодженні CDE-матриці та надає експертні висновки для погодження матриці начальниками УПЦ і УІІТ та 
затвердження директором ДІТ.</t>
  </si>
  <si>
    <t>Відповідальний працівник напряму захисту та контролю ІКС УІБ</t>
  </si>
  <si>
    <t>Порядок класифікації та захисту електронної інформації АТ «Укрексімбанк»</t>
  </si>
  <si>
    <t>Здійснення моніторингу подій ІБ, виявлення інцидентів ІБ та первинну обробку інцидентів ІБ,  пов'язаних з витоком інформації з обмеженим доступом.</t>
  </si>
  <si>
    <t>Оператор моніторингу ІБ системи DLP</t>
  </si>
  <si>
    <t>Порядок перевірки наявності бездротових точок доступу                                      АТ «Укрексімбанк»</t>
  </si>
  <si>
    <t>Процес перевірки наявності БТД.</t>
  </si>
  <si>
    <t>Відповідальний працівник УІБ за перевірку наявності БТД</t>
  </si>
  <si>
    <t>Налаштування Прийому журналів подій з мережевого обладнання на SIEM.</t>
  </si>
  <si>
    <t>Відповідальний працівник УІБ за налаштування та забезпечення прийому журналів подій з мережевого обладнання на SIEM</t>
  </si>
  <si>
    <t xml:space="preserve"> Політика управління ризиком інформаційно-комунікаційних технологій та ризиком інформаційної безпеки АТ "Укрексімбанк"</t>
  </si>
  <si>
    <t>Управління ризиками ІБ та контролю за дотриманням вимог Системи управління ризиками ІБ.</t>
  </si>
  <si>
    <t xml:space="preserve">Контролінг ІБ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</si>
</sst>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sz val="11"/>
      <color theme="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2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9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6" fillId="8" borderId="1" xfId="1" applyFont="1" applyFill="1" applyBorder="1"/>
    <xf numFmtId="0" fontId="6" fillId="8" borderId="1" xfId="1" applyFont="1" applyFill="1" applyBorder="1" applyAlignment="1">
      <alignment horizontal="left"/>
    </xf>
    <xf numFmtId="0" fontId="6" fillId="9" borderId="1" xfId="1" applyFont="1" applyFill="1" applyBorder="1"/>
    <xf numFmtId="0" fontId="6" fillId="9" borderId="1" xfId="1" applyFont="1" applyFill="1" applyBorder="1" applyAlignment="1">
      <alignment horizontal="left"/>
    </xf>
    <xf numFmtId="49" fontId="6" fillId="9" borderId="1" xfId="1" applyNumberFormat="1" applyFont="1" applyFill="1" applyBorder="1" applyAlignment="1">
      <alignment horizontal="left"/>
    </xf>
    <xf numFmtId="0" fontId="6" fillId="4" borderId="1" xfId="1" applyFont="1" applyFill="1" applyBorder="1"/>
    <xf numFmtId="0" fontId="6" fillId="4" borderId="1" xfId="1" applyFont="1" applyFill="1" applyBorder="1" applyAlignment="1">
      <alignment horizontal="left"/>
    </xf>
    <xf numFmtId="49" fontId="6" fillId="4" borderId="1" xfId="1" applyNumberFormat="1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6" fillId="3" borderId="1" xfId="1" applyFont="1" applyFill="1" applyBorder="1"/>
    <xf numFmtId="0" fontId="6" fillId="3" borderId="1" xfId="1" applyFont="1" applyFill="1" applyBorder="1" applyAlignment="1">
      <alignment horizontal="left"/>
    </xf>
    <xf numFmtId="49" fontId="6" fillId="3" borderId="1" xfId="1" applyNumberFormat="1" applyFont="1" applyFill="1" applyBorder="1" applyAlignment="1">
      <alignment horizontal="left"/>
    </xf>
    <xf numFmtId="0" fontId="6" fillId="7" borderId="1" xfId="1" applyFont="1" applyFill="1" applyBorder="1"/>
    <xf numFmtId="0" fontId="6" fillId="7" borderId="1" xfId="1" applyFont="1" applyFill="1" applyBorder="1" applyAlignment="1">
      <alignment horizontal="left"/>
    </xf>
    <xf numFmtId="49" fontId="6" fillId="7" borderId="1" xfId="1" applyNumberFormat="1" applyFont="1" applyFill="1" applyBorder="1" applyAlignment="1">
      <alignment horizontal="left"/>
    </xf>
    <xf numFmtId="49" fontId="2" fillId="4" borderId="1" xfId="1" applyNumberFormat="1" applyFont="1" applyFill="1" applyBorder="1" applyAlignment="1">
      <alignment horizontal="left"/>
    </xf>
    <xf numFmtId="49" fontId="2" fillId="7" borderId="1" xfId="1" applyNumberFormat="1" applyFont="1" applyFill="1" applyBorder="1" applyAlignment="1">
      <alignment horizontal="left"/>
    </xf>
    <xf numFmtId="49" fontId="2" fillId="8" borderId="1" xfId="1" applyNumberFormat="1" applyFont="1" applyFill="1" applyBorder="1" applyAlignment="1">
      <alignment horizontal="left"/>
    </xf>
    <xf numFmtId="0" fontId="0" fillId="9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49" fontId="2" fillId="9" borderId="1" xfId="1" applyNumberFormat="1" applyFont="1" applyFill="1" applyBorder="1" applyAlignment="1">
      <alignment horizontal="left"/>
    </xf>
    <xf numFmtId="0" fontId="9" fillId="9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6" fillId="15" borderId="1" xfId="1" applyFont="1" applyFill="1" applyBorder="1"/>
    <xf numFmtId="0" fontId="6" fillId="15" borderId="1" xfId="1" applyFont="1" applyFill="1" applyBorder="1" applyAlignment="1">
      <alignment horizontal="left"/>
    </xf>
    <xf numFmtId="49" fontId="7" fillId="15" borderId="1" xfId="1" applyNumberFormat="1" applyFont="1" applyFill="1" applyBorder="1" applyAlignment="1">
      <alignment horizontal="left"/>
    </xf>
    <xf numFmtId="0" fontId="10" fillId="3" borderId="1" xfId="1" applyFont="1" applyFill="1" applyBorder="1" applyAlignment="1">
      <alignment horizontal="left"/>
    </xf>
    <xf numFmtId="0" fontId="11" fillId="3" borderId="1" xfId="1" applyFont="1" applyFill="1" applyBorder="1" applyAlignment="1">
      <alignment horizontal="left"/>
    </xf>
    <xf numFmtId="0" fontId="11" fillId="3" borderId="1" xfId="1" applyFont="1" applyFill="1" applyBorder="1"/>
    <xf numFmtId="0" fontId="0" fillId="0" borderId="3" xfId="0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16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7" fillId="4" borderId="1" xfId="1" applyNumberFormat="1" applyFont="1" applyFill="1" applyBorder="1" applyAlignment="1">
      <alignment horizontal="left"/>
    </xf>
    <xf numFmtId="0" fontId="12" fillId="9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0" borderId="1" xfId="0" applyBorder="1"/>
    <xf numFmtId="0" fontId="0" fillId="5" borderId="3" xfId="0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17" borderId="3" xfId="0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0" fillId="11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7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</cellXfs>
  <cellStyles count="2">
    <cellStyle name="Звичайний" xfId="0" builtinId="0"/>
    <cellStyle name="Звичайний 2" xfId="1" xr:uid="{5ABDC4AB-6848-4C30-ADEC-881B0BAAABC8}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E429-40CB-49F7-84F2-D9521AFF4411}">
  <dimension ref="A1:B5"/>
  <sheetViews>
    <sheetView workbookViewId="0"/>
  </sheetViews>
  <sheetFormatPr defaultRowHeight="15"/>
  <cols>
    <col min="1" max="1" width="61.85546875" customWidth="1"/>
    <col min="2" max="2" width="22.5703125" customWidth="1"/>
  </cols>
  <sheetData>
    <row r="1" spans="1:2">
      <c r="A1" s="7" t="s">
        <v>0</v>
      </c>
      <c r="B1" s="7" t="s">
        <v>1</v>
      </c>
    </row>
    <row r="2" spans="1:2">
      <c r="A2" s="6" t="s">
        <v>2</v>
      </c>
      <c r="B2" s="6">
        <f>COUNTIF('Перелік процесів ІБ'!C3:C255,'Напрями УІБ'!A2)</f>
        <v>61</v>
      </c>
    </row>
    <row r="3" spans="1:2">
      <c r="A3" s="6" t="s">
        <v>3</v>
      </c>
      <c r="B3" s="6">
        <f>COUNTIF('Перелік процесів ІБ'!C3:C255,'Напрями УІБ'!A3)</f>
        <v>46</v>
      </c>
    </row>
    <row r="4" spans="1:2">
      <c r="A4" s="6" t="s">
        <v>4</v>
      </c>
      <c r="B4" s="6">
        <f>COUNTIF('Перелік процесів ІБ'!C3:C255,'Напрями УІБ'!A4)</f>
        <v>28</v>
      </c>
    </row>
    <row r="5" spans="1:2">
      <c r="A5" s="6" t="s">
        <v>5</v>
      </c>
      <c r="B5" s="6">
        <f>COUNTIF('Перелік процесів ІБ'!C3:C255,'Напрями УІБ'!A5)</f>
        <v>26</v>
      </c>
    </row>
  </sheetData>
  <pageMargins left="0.7" right="0.7" top="0.75" bottom="0.75" header="0.3" footer="0.3"/>
  <pageSetup paperSize="9" orientation="portrait" verticalDpi="0" r:id="rId1"/>
  <headerFooter>
    <oddHeader>&amp;C&amp;G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D79A-0A63-4009-8FA1-591D81A5E267}">
  <sheetPr>
    <tabColor theme="4" tint="0.59999389629810485"/>
    <outlinePr summaryBelow="0"/>
  </sheetPr>
  <dimension ref="A1:D26"/>
  <sheetViews>
    <sheetView workbookViewId="0">
      <selection activeCell="E12" sqref="E12"/>
    </sheetView>
  </sheetViews>
  <sheetFormatPr defaultRowHeight="15" outlineLevelRow="1"/>
  <cols>
    <col min="1" max="1" width="49.7109375" customWidth="1"/>
    <col min="2" max="2" width="65" customWidth="1"/>
    <col min="3" max="3" width="75.7109375" customWidth="1"/>
    <col min="4" max="4" width="48.140625" customWidth="1"/>
  </cols>
  <sheetData>
    <row r="1" spans="1:4">
      <c r="A1" s="13" t="s">
        <v>6</v>
      </c>
      <c r="B1" s="13" t="s">
        <v>0</v>
      </c>
      <c r="C1" s="13" t="s">
        <v>7</v>
      </c>
      <c r="D1" s="13" t="s">
        <v>8</v>
      </c>
    </row>
    <row r="2" spans="1:4" outlineLevel="1">
      <c r="A2" s="14" t="s">
        <v>9</v>
      </c>
      <c r="B2" s="15" t="s">
        <v>9</v>
      </c>
      <c r="C2" s="15" t="s">
        <v>10</v>
      </c>
      <c r="D2" s="31" t="s">
        <v>11</v>
      </c>
    </row>
    <row r="3" spans="1:4" outlineLevel="1">
      <c r="A3" s="16" t="s">
        <v>9</v>
      </c>
      <c r="B3" s="17" t="s">
        <v>12</v>
      </c>
      <c r="C3" s="17" t="s">
        <v>13</v>
      </c>
      <c r="D3" s="46" t="s">
        <v>14</v>
      </c>
    </row>
    <row r="4" spans="1:4" outlineLevel="1">
      <c r="A4" s="16" t="s">
        <v>9</v>
      </c>
      <c r="B4" s="17" t="s">
        <v>12</v>
      </c>
      <c r="C4" s="17" t="s">
        <v>15</v>
      </c>
      <c r="D4" s="18" t="s">
        <v>16</v>
      </c>
    </row>
    <row r="5" spans="1:4" outlineLevel="1">
      <c r="A5" s="16" t="s">
        <v>9</v>
      </c>
      <c r="B5" s="17" t="s">
        <v>12</v>
      </c>
      <c r="C5" s="17" t="s">
        <v>17</v>
      </c>
      <c r="D5" s="18" t="s">
        <v>18</v>
      </c>
    </row>
    <row r="6" spans="1:4" outlineLevel="1">
      <c r="A6" s="16" t="s">
        <v>9</v>
      </c>
      <c r="B6" s="17" t="s">
        <v>12</v>
      </c>
      <c r="C6" s="17" t="s">
        <v>19</v>
      </c>
      <c r="D6" s="18" t="s">
        <v>20</v>
      </c>
    </row>
    <row r="7" spans="1:4" outlineLevel="1">
      <c r="A7" s="16" t="s">
        <v>9</v>
      </c>
      <c r="B7" s="17" t="s">
        <v>12</v>
      </c>
      <c r="C7" s="17" t="s">
        <v>19</v>
      </c>
      <c r="D7" s="18" t="s">
        <v>21</v>
      </c>
    </row>
    <row r="8" spans="1:4" outlineLevel="1">
      <c r="A8" s="19" t="s">
        <v>9</v>
      </c>
      <c r="B8" s="20" t="s">
        <v>22</v>
      </c>
      <c r="C8" s="20" t="s">
        <v>23</v>
      </c>
      <c r="D8" s="29" t="s">
        <v>24</v>
      </c>
    </row>
    <row r="9" spans="1:4" outlineLevel="1">
      <c r="A9" s="19" t="s">
        <v>9</v>
      </c>
      <c r="B9" s="20" t="s">
        <v>22</v>
      </c>
      <c r="C9" s="20" t="s">
        <v>17</v>
      </c>
      <c r="D9" s="21" t="s">
        <v>25</v>
      </c>
    </row>
    <row r="10" spans="1:4" outlineLevel="1">
      <c r="A10" s="19" t="s">
        <v>9</v>
      </c>
      <c r="B10" s="20" t="s">
        <v>22</v>
      </c>
      <c r="C10" s="20" t="s">
        <v>17</v>
      </c>
      <c r="D10" s="21" t="s">
        <v>26</v>
      </c>
    </row>
    <row r="11" spans="1:4" outlineLevel="1">
      <c r="A11" s="19" t="s">
        <v>9</v>
      </c>
      <c r="B11" s="20" t="s">
        <v>22</v>
      </c>
      <c r="C11" s="20" t="s">
        <v>27</v>
      </c>
      <c r="D11" s="21" t="s">
        <v>28</v>
      </c>
    </row>
    <row r="12" spans="1:4" outlineLevel="1">
      <c r="A12" s="19" t="s">
        <v>9</v>
      </c>
      <c r="B12" s="20" t="s">
        <v>22</v>
      </c>
      <c r="C12" s="20" t="s">
        <v>27</v>
      </c>
      <c r="D12" s="65" t="s">
        <v>29</v>
      </c>
    </row>
    <row r="13" spans="1:4" outlineLevel="1">
      <c r="A13" s="19" t="s">
        <v>9</v>
      </c>
      <c r="B13" s="20" t="s">
        <v>22</v>
      </c>
      <c r="C13" s="20" t="s">
        <v>27</v>
      </c>
      <c r="D13" s="21" t="s">
        <v>30</v>
      </c>
    </row>
    <row r="14" spans="1:4" outlineLevel="1">
      <c r="A14" s="19" t="s">
        <v>9</v>
      </c>
      <c r="B14" s="20" t="s">
        <v>22</v>
      </c>
      <c r="C14" s="20" t="s">
        <v>27</v>
      </c>
      <c r="D14" s="22" t="s">
        <v>29</v>
      </c>
    </row>
    <row r="15" spans="1:4" outlineLevel="1">
      <c r="A15" s="19" t="s">
        <v>9</v>
      </c>
      <c r="B15" s="20" t="s">
        <v>22</v>
      </c>
      <c r="C15" s="20" t="s">
        <v>19</v>
      </c>
      <c r="D15" s="21" t="s">
        <v>31</v>
      </c>
    </row>
    <row r="16" spans="1:4" outlineLevel="1">
      <c r="A16" s="54" t="s">
        <v>9</v>
      </c>
      <c r="B16" s="53" t="s">
        <v>32</v>
      </c>
      <c r="C16" s="53" t="s">
        <v>33</v>
      </c>
      <c r="D16" s="52" t="s">
        <v>34</v>
      </c>
    </row>
    <row r="17" spans="1:4" outlineLevel="1">
      <c r="A17" s="23" t="s">
        <v>9</v>
      </c>
      <c r="B17" s="24" t="s">
        <v>32</v>
      </c>
      <c r="C17" s="24" t="s">
        <v>17</v>
      </c>
      <c r="D17" s="25" t="s">
        <v>35</v>
      </c>
    </row>
    <row r="18" spans="1:4" outlineLevel="1">
      <c r="A18" s="23" t="s">
        <v>9</v>
      </c>
      <c r="B18" s="24" t="s">
        <v>32</v>
      </c>
      <c r="C18" s="24" t="s">
        <v>27</v>
      </c>
      <c r="D18" s="25" t="s">
        <v>36</v>
      </c>
    </row>
    <row r="19" spans="1:4" outlineLevel="1">
      <c r="A19" s="23" t="s">
        <v>9</v>
      </c>
      <c r="B19" s="24" t="s">
        <v>32</v>
      </c>
      <c r="C19" s="24" t="s">
        <v>19</v>
      </c>
      <c r="D19" s="25" t="s">
        <v>37</v>
      </c>
    </row>
    <row r="20" spans="1:4" outlineLevel="1">
      <c r="A20" s="23" t="s">
        <v>9</v>
      </c>
      <c r="B20" s="24" t="s">
        <v>32</v>
      </c>
      <c r="C20" s="24" t="s">
        <v>38</v>
      </c>
      <c r="D20" s="25" t="s">
        <v>39</v>
      </c>
    </row>
    <row r="21" spans="1:4" outlineLevel="1">
      <c r="A21" s="23" t="s">
        <v>9</v>
      </c>
      <c r="B21" s="24" t="s">
        <v>32</v>
      </c>
      <c r="C21" s="24" t="s">
        <v>38</v>
      </c>
      <c r="D21" s="25" t="s">
        <v>40</v>
      </c>
    </row>
    <row r="22" spans="1:4" outlineLevel="1">
      <c r="A22" s="26" t="s">
        <v>9</v>
      </c>
      <c r="B22" s="27" t="s">
        <v>41</v>
      </c>
      <c r="C22" s="27" t="s">
        <v>42</v>
      </c>
      <c r="D22" s="30" t="s">
        <v>43</v>
      </c>
    </row>
    <row r="23" spans="1:4" outlineLevel="1">
      <c r="A23" s="26" t="s">
        <v>9</v>
      </c>
      <c r="B23" s="27" t="s">
        <v>41</v>
      </c>
      <c r="C23" s="27" t="s">
        <v>19</v>
      </c>
      <c r="D23" s="28" t="s">
        <v>44</v>
      </c>
    </row>
    <row r="24" spans="1:4" outlineLevel="1">
      <c r="A24" s="26" t="s">
        <v>9</v>
      </c>
      <c r="B24" s="27" t="s">
        <v>41</v>
      </c>
      <c r="C24" s="27" t="s">
        <v>19</v>
      </c>
      <c r="D24" s="28" t="s">
        <v>45</v>
      </c>
    </row>
    <row r="25" spans="1:4" outlineLevel="1">
      <c r="A25" s="26" t="s">
        <v>9</v>
      </c>
      <c r="B25" s="27" t="s">
        <v>41</v>
      </c>
      <c r="C25" s="27" t="s">
        <v>38</v>
      </c>
      <c r="D25" s="28" t="s">
        <v>46</v>
      </c>
    </row>
    <row r="26" spans="1:4" outlineLevel="1">
      <c r="A26" s="49" t="s">
        <v>9</v>
      </c>
      <c r="B26" s="50" t="s">
        <v>41</v>
      </c>
      <c r="C26" s="50" t="s">
        <v>38</v>
      </c>
      <c r="D26" s="51" t="s">
        <v>47</v>
      </c>
    </row>
  </sheetData>
  <pageMargins left="0.7" right="0.7" top="0.75" bottom="0.75" header="0.3" footer="0.3"/>
  <pageSetup paperSize="9" orientation="portrait" verticalDpi="0" r:id="rId1"/>
  <headerFooter>
    <oddHeader>&amp;C&amp;G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890C3-AAF7-4204-9F5D-27B409A2118F}">
  <dimension ref="A1:AA197"/>
  <sheetViews>
    <sheetView tabSelected="1" zoomScale="70" zoomScaleNormal="70" workbookViewId="0">
      <pane xSplit="3" ySplit="2" topLeftCell="P177" activePane="bottomRight" state="frozen"/>
      <selection pane="bottomRight" activeCell="A2" sqref="A2"/>
      <selection pane="bottomLeft" activeCell="A3" sqref="A3"/>
      <selection pane="topRight" activeCell="D1" sqref="D1"/>
    </sheetView>
  </sheetViews>
  <sheetFormatPr defaultRowHeight="15"/>
  <cols>
    <col min="1" max="1" width="29" style="2" customWidth="1"/>
    <col min="2" max="2" width="35.85546875" style="2" customWidth="1"/>
    <col min="3" max="3" width="47.7109375" style="1" customWidth="1"/>
    <col min="4" max="4" width="17.42578125" customWidth="1"/>
    <col min="5" max="5" width="14.7109375" customWidth="1"/>
    <col min="6" max="6" width="14.28515625" customWidth="1"/>
    <col min="7" max="7" width="14.5703125" customWidth="1"/>
    <col min="8" max="8" width="17" customWidth="1"/>
    <col min="9" max="9" width="28.7109375" customWidth="1"/>
    <col min="10" max="10" width="12.5703125" customWidth="1"/>
    <col min="11" max="11" width="21.140625" customWidth="1"/>
    <col min="12" max="12" width="16.5703125" bestFit="1" customWidth="1"/>
    <col min="13" max="14" width="16.42578125" customWidth="1"/>
    <col min="15" max="15" width="15.5703125" customWidth="1"/>
    <col min="16" max="16" width="17" customWidth="1"/>
    <col min="17" max="17" width="10.85546875" customWidth="1"/>
    <col min="18" max="18" width="11.28515625" customWidth="1"/>
    <col min="19" max="19" width="12.85546875" customWidth="1"/>
    <col min="20" max="20" width="19.140625" bestFit="1" customWidth="1"/>
    <col min="21" max="21" width="12.140625" customWidth="1"/>
    <col min="22" max="22" width="14.28515625" customWidth="1"/>
    <col min="23" max="23" width="12.28515625" customWidth="1"/>
    <col min="24" max="24" width="12.5703125" customWidth="1"/>
    <col min="25" max="25" width="11.5703125" customWidth="1"/>
    <col min="26" max="26" width="12" customWidth="1"/>
    <col min="27" max="27" width="13.85546875" customWidth="1"/>
  </cols>
  <sheetData>
    <row r="1" spans="1:27" ht="24.75" customHeight="1">
      <c r="A1" s="11"/>
      <c r="B1" s="11"/>
      <c r="C1" s="11"/>
      <c r="D1" s="93" t="s">
        <v>2</v>
      </c>
      <c r="E1" s="93"/>
      <c r="F1" s="93"/>
      <c r="G1" s="93"/>
      <c r="H1" s="83" t="s">
        <v>3</v>
      </c>
      <c r="I1" s="84"/>
      <c r="J1" s="84"/>
      <c r="K1" s="84"/>
      <c r="L1" s="84"/>
      <c r="M1" s="84"/>
      <c r="N1" s="84"/>
      <c r="O1" s="85"/>
      <c r="P1" s="92" t="s">
        <v>4</v>
      </c>
      <c r="Q1" s="92"/>
      <c r="R1" s="92"/>
      <c r="S1" s="92"/>
      <c r="T1" s="92"/>
      <c r="U1" s="92"/>
      <c r="V1" s="92"/>
      <c r="W1" s="91" t="s">
        <v>5</v>
      </c>
      <c r="X1" s="84"/>
      <c r="Y1" s="84"/>
      <c r="Z1" s="84"/>
      <c r="AA1" s="85"/>
    </row>
    <row r="2" spans="1:27" ht="64.5" customHeight="1">
      <c r="A2" s="11" t="s">
        <v>48</v>
      </c>
      <c r="B2" s="11" t="s">
        <v>49</v>
      </c>
      <c r="C2" s="11" t="s">
        <v>50</v>
      </c>
      <c r="D2" s="47" t="s">
        <v>51</v>
      </c>
      <c r="E2" s="32" t="s">
        <v>52</v>
      </c>
      <c r="F2" s="32" t="s">
        <v>53</v>
      </c>
      <c r="G2" s="66" t="s">
        <v>54</v>
      </c>
      <c r="H2" s="33" t="s">
        <v>55</v>
      </c>
      <c r="I2" s="34" t="s">
        <v>56</v>
      </c>
      <c r="J2" s="34" t="s">
        <v>57</v>
      </c>
      <c r="K2" s="34" t="s">
        <v>58</v>
      </c>
      <c r="L2" s="34" t="s">
        <v>59</v>
      </c>
      <c r="M2" s="34" t="s">
        <v>60</v>
      </c>
      <c r="N2" s="35" t="s">
        <v>61</v>
      </c>
      <c r="O2" s="35" t="s">
        <v>61</v>
      </c>
      <c r="P2" s="41" t="s">
        <v>62</v>
      </c>
      <c r="Q2" s="36" t="s">
        <v>63</v>
      </c>
      <c r="R2" s="36" t="s">
        <v>64</v>
      </c>
      <c r="S2" s="36" t="s">
        <v>65</v>
      </c>
      <c r="T2" s="36" t="s">
        <v>66</v>
      </c>
      <c r="U2" s="36" t="s">
        <v>67</v>
      </c>
      <c r="V2" s="36" t="s">
        <v>68</v>
      </c>
      <c r="W2" s="37" t="s">
        <v>69</v>
      </c>
      <c r="X2" s="38" t="s">
        <v>70</v>
      </c>
      <c r="Y2" s="38" t="s">
        <v>71</v>
      </c>
      <c r="Z2" s="39" t="s">
        <v>72</v>
      </c>
      <c r="AA2" s="39" t="s">
        <v>73</v>
      </c>
    </row>
    <row r="3" spans="1:27" ht="30">
      <c r="A3" s="89" t="s">
        <v>74</v>
      </c>
      <c r="B3" s="3" t="s">
        <v>75</v>
      </c>
      <c r="C3" s="4" t="s">
        <v>2</v>
      </c>
      <c r="D3" s="9">
        <v>1</v>
      </c>
      <c r="E3" s="9">
        <v>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40"/>
    </row>
    <row r="4" spans="1:27" ht="45">
      <c r="A4" s="90"/>
      <c r="B4" s="5" t="s">
        <v>76</v>
      </c>
      <c r="C4" s="4" t="s">
        <v>2</v>
      </c>
      <c r="D4" s="9">
        <v>1</v>
      </c>
      <c r="E4" s="9">
        <v>1</v>
      </c>
      <c r="F4" s="9">
        <v>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40"/>
    </row>
    <row r="5" spans="1:27">
      <c r="A5" s="87" t="s">
        <v>77</v>
      </c>
      <c r="B5" s="5" t="s">
        <v>78</v>
      </c>
      <c r="C5" s="4" t="s">
        <v>2</v>
      </c>
      <c r="D5" s="9">
        <v>1</v>
      </c>
      <c r="E5" s="9">
        <v>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40"/>
    </row>
    <row r="6" spans="1:27">
      <c r="A6" s="88"/>
      <c r="B6" s="5" t="s">
        <v>79</v>
      </c>
      <c r="C6" s="4" t="s">
        <v>2</v>
      </c>
      <c r="D6" s="8"/>
      <c r="E6" s="9">
        <v>1</v>
      </c>
      <c r="F6" s="9">
        <v>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40"/>
    </row>
    <row r="7" spans="1:27" ht="30">
      <c r="A7" s="88"/>
      <c r="B7" s="5" t="s">
        <v>80</v>
      </c>
      <c r="C7" s="6" t="s">
        <v>4</v>
      </c>
      <c r="D7" s="8"/>
      <c r="E7" s="9">
        <v>1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R7" s="8"/>
      <c r="S7" s="8"/>
      <c r="T7" s="8"/>
      <c r="U7" s="8"/>
      <c r="V7" s="8"/>
      <c r="W7" s="8"/>
      <c r="X7" s="8"/>
      <c r="Y7" s="8"/>
      <c r="Z7" s="8"/>
      <c r="AA7" s="40"/>
    </row>
    <row r="8" spans="1:27" ht="30">
      <c r="A8" s="88"/>
      <c r="B8" s="5" t="s">
        <v>81</v>
      </c>
      <c r="C8" s="6" t="s">
        <v>4</v>
      </c>
      <c r="D8" s="8"/>
      <c r="E8" s="9">
        <v>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R8" s="8"/>
      <c r="S8" s="8"/>
      <c r="T8" s="8"/>
      <c r="U8" s="8"/>
      <c r="V8" s="8"/>
      <c r="W8" s="8"/>
      <c r="X8" s="8"/>
      <c r="Y8" s="8"/>
      <c r="Z8" s="8"/>
      <c r="AA8" s="40"/>
    </row>
    <row r="9" spans="1:27">
      <c r="A9" s="88"/>
      <c r="B9" s="5" t="s">
        <v>82</v>
      </c>
      <c r="C9" s="6" t="s">
        <v>3</v>
      </c>
      <c r="D9" s="8"/>
      <c r="E9" s="8"/>
      <c r="F9" s="9">
        <v>1</v>
      </c>
      <c r="G9" s="9">
        <v>1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40"/>
    </row>
    <row r="10" spans="1:27" ht="45">
      <c r="A10" s="88"/>
      <c r="B10" s="5" t="s">
        <v>83</v>
      </c>
      <c r="C10" s="4" t="s">
        <v>2</v>
      </c>
      <c r="D10" s="9">
        <v>1</v>
      </c>
      <c r="E10" s="9">
        <v>1</v>
      </c>
      <c r="F10" s="9">
        <v>1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40"/>
    </row>
    <row r="11" spans="1:27" ht="30">
      <c r="A11" s="89"/>
      <c r="B11" s="5" t="s">
        <v>84</v>
      </c>
      <c r="C11" s="4" t="s">
        <v>2</v>
      </c>
      <c r="D11" s="9">
        <v>1</v>
      </c>
      <c r="E11" s="9">
        <v>1</v>
      </c>
      <c r="F11" s="9">
        <v>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40"/>
    </row>
    <row r="12" spans="1:27" ht="30">
      <c r="A12" s="90" t="s">
        <v>85</v>
      </c>
      <c r="B12" s="5" t="s">
        <v>86</v>
      </c>
      <c r="C12" s="6" t="s">
        <v>3</v>
      </c>
      <c r="D12" s="8"/>
      <c r="E12" s="8"/>
      <c r="F12" s="8"/>
      <c r="G12" s="8"/>
      <c r="H12" s="8"/>
      <c r="I12" s="38">
        <v>1</v>
      </c>
      <c r="J12" s="8"/>
      <c r="K12" s="9">
        <v>1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40"/>
    </row>
    <row r="13" spans="1:27" ht="30">
      <c r="A13" s="90"/>
      <c r="B13" s="5" t="s">
        <v>87</v>
      </c>
      <c r="C13" s="6" t="s">
        <v>3</v>
      </c>
      <c r="D13" s="8"/>
      <c r="E13" s="8"/>
      <c r="F13" s="8"/>
      <c r="G13" s="8"/>
      <c r="H13" s="8"/>
      <c r="I13" s="38">
        <v>1</v>
      </c>
      <c r="J13" s="8"/>
      <c r="K13" s="9">
        <v>1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40"/>
    </row>
    <row r="14" spans="1:27" ht="30">
      <c r="A14" s="90"/>
      <c r="B14" s="5" t="s">
        <v>88</v>
      </c>
      <c r="C14" s="6" t="s">
        <v>3</v>
      </c>
      <c r="D14" s="8"/>
      <c r="E14" s="8"/>
      <c r="F14" s="8"/>
      <c r="G14" s="8"/>
      <c r="H14" s="8"/>
      <c r="I14" s="38">
        <v>1</v>
      </c>
      <c r="J14" s="8"/>
      <c r="K14" s="9">
        <v>1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40"/>
    </row>
    <row r="15" spans="1:27" ht="60">
      <c r="A15" s="90"/>
      <c r="B15" s="5" t="s">
        <v>89</v>
      </c>
      <c r="C15" s="6" t="s">
        <v>3</v>
      </c>
      <c r="D15" s="8"/>
      <c r="E15" s="8"/>
      <c r="F15" s="8"/>
      <c r="G15" s="8"/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8"/>
      <c r="P15" s="8"/>
      <c r="Q15" s="9">
        <v>1</v>
      </c>
      <c r="R15" s="8"/>
      <c r="S15" s="8"/>
      <c r="T15" s="8"/>
      <c r="U15" s="9">
        <v>1</v>
      </c>
      <c r="V15" s="8"/>
      <c r="W15" s="9">
        <v>1</v>
      </c>
      <c r="X15" s="8"/>
      <c r="Y15" s="8"/>
      <c r="Z15" s="9">
        <v>1</v>
      </c>
      <c r="AA15" s="40"/>
    </row>
    <row r="16" spans="1:27">
      <c r="A16" s="90" t="s">
        <v>90</v>
      </c>
      <c r="B16" s="5" t="s">
        <v>91</v>
      </c>
      <c r="C16" s="4" t="s">
        <v>2</v>
      </c>
      <c r="D16" s="9">
        <v>1</v>
      </c>
      <c r="E16" s="9">
        <v>1</v>
      </c>
      <c r="F16" s="9">
        <v>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40"/>
    </row>
    <row r="17" spans="1:27" ht="30">
      <c r="A17" s="90"/>
      <c r="B17" s="5" t="s">
        <v>92</v>
      </c>
      <c r="C17" s="4" t="s">
        <v>2</v>
      </c>
      <c r="D17" s="8"/>
      <c r="E17" s="8"/>
      <c r="F17" s="9">
        <v>1</v>
      </c>
      <c r="G17" s="9">
        <v>1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40"/>
    </row>
    <row r="18" spans="1:27" ht="30">
      <c r="A18" s="90"/>
      <c r="B18" s="5" t="s">
        <v>93</v>
      </c>
      <c r="C18" s="4" t="s">
        <v>2</v>
      </c>
      <c r="D18" s="8"/>
      <c r="E18" s="8"/>
      <c r="F18" s="9">
        <v>1</v>
      </c>
      <c r="G18" s="9">
        <v>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9">
        <v>1</v>
      </c>
      <c r="X18" s="8"/>
      <c r="Y18" s="8"/>
      <c r="Z18" s="8"/>
      <c r="AA18" s="40"/>
    </row>
    <row r="19" spans="1:27" ht="30">
      <c r="A19" s="90"/>
      <c r="B19" s="5" t="s">
        <v>94</v>
      </c>
      <c r="C19" s="4" t="s">
        <v>2</v>
      </c>
      <c r="D19" s="8"/>
      <c r="E19" s="8"/>
      <c r="F19" s="9">
        <v>1</v>
      </c>
      <c r="G19" s="9">
        <v>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40"/>
    </row>
    <row r="20" spans="1:27" ht="30">
      <c r="A20" s="90"/>
      <c r="B20" s="5" t="s">
        <v>95</v>
      </c>
      <c r="C20" s="4" t="s">
        <v>2</v>
      </c>
      <c r="D20" s="8"/>
      <c r="E20" s="8"/>
      <c r="F20" s="9">
        <v>1</v>
      </c>
      <c r="G20" s="9">
        <v>1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40"/>
    </row>
    <row r="21" spans="1:27" ht="45">
      <c r="A21" s="90"/>
      <c r="B21" s="5" t="s">
        <v>96</v>
      </c>
      <c r="C21" s="4" t="s">
        <v>2</v>
      </c>
      <c r="D21" s="8"/>
      <c r="E21" s="8"/>
      <c r="F21" s="9">
        <v>1</v>
      </c>
      <c r="G21" s="9">
        <v>1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40"/>
    </row>
    <row r="22" spans="1:27" ht="45">
      <c r="A22" s="90"/>
      <c r="B22" s="5" t="s">
        <v>97</v>
      </c>
      <c r="C22" s="4" t="s">
        <v>2</v>
      </c>
      <c r="D22" s="8"/>
      <c r="E22" s="8"/>
      <c r="F22" s="9">
        <v>1</v>
      </c>
      <c r="G22" s="9">
        <v>1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40"/>
    </row>
    <row r="23" spans="1:27" ht="30">
      <c r="A23" s="90"/>
      <c r="B23" s="5" t="s">
        <v>98</v>
      </c>
      <c r="C23" s="4" t="s">
        <v>2</v>
      </c>
      <c r="D23" s="8"/>
      <c r="E23" s="8"/>
      <c r="F23" s="9">
        <v>1</v>
      </c>
      <c r="G23" s="9">
        <v>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9">
        <v>1</v>
      </c>
      <c r="U23" s="8"/>
      <c r="V23" s="8"/>
      <c r="W23" s="8"/>
      <c r="X23" s="8"/>
      <c r="Y23" s="8"/>
      <c r="Z23" s="8"/>
      <c r="AA23" s="40"/>
    </row>
    <row r="24" spans="1:27" ht="30">
      <c r="A24" s="87" t="s">
        <v>99</v>
      </c>
      <c r="B24" s="5" t="s">
        <v>100</v>
      </c>
      <c r="C24" s="4" t="s">
        <v>2</v>
      </c>
      <c r="D24" s="9">
        <v>1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>
        <v>1</v>
      </c>
      <c r="Q24" s="8"/>
      <c r="R24" s="8"/>
      <c r="S24" s="8"/>
      <c r="T24" s="8"/>
      <c r="U24" s="8"/>
      <c r="V24" s="8"/>
      <c r="W24" s="9">
        <v>1</v>
      </c>
      <c r="X24" s="8"/>
      <c r="Y24" s="8"/>
      <c r="Z24" s="8"/>
      <c r="AA24" s="40"/>
    </row>
    <row r="25" spans="1:27" ht="30">
      <c r="A25" s="88"/>
      <c r="B25" s="5" t="s">
        <v>101</v>
      </c>
      <c r="C25" s="4" t="s">
        <v>2</v>
      </c>
      <c r="D25" s="9">
        <v>1</v>
      </c>
      <c r="E25" s="9">
        <v>1</v>
      </c>
      <c r="F25" s="8"/>
      <c r="G25" s="8"/>
      <c r="H25" s="9">
        <v>1</v>
      </c>
      <c r="I25" s="8"/>
      <c r="J25" s="8"/>
      <c r="K25" s="8"/>
      <c r="L25" s="8"/>
      <c r="M25" s="8"/>
      <c r="N25" s="8"/>
      <c r="O25" s="8"/>
      <c r="P25" s="9">
        <v>1</v>
      </c>
      <c r="Q25" s="8"/>
      <c r="R25" s="8"/>
      <c r="S25" s="8"/>
      <c r="T25" s="9">
        <v>1</v>
      </c>
      <c r="U25" s="8"/>
      <c r="V25" s="8"/>
      <c r="W25" s="9">
        <v>1</v>
      </c>
      <c r="X25" s="8"/>
      <c r="Y25" s="8"/>
      <c r="Z25" s="8"/>
      <c r="AA25" s="40"/>
    </row>
    <row r="26" spans="1:27" ht="30">
      <c r="A26" s="88"/>
      <c r="B26" s="5" t="s">
        <v>102</v>
      </c>
      <c r="C26" s="4" t="s">
        <v>2</v>
      </c>
      <c r="D26" s="9">
        <v>1</v>
      </c>
      <c r="E26" s="9">
        <v>1</v>
      </c>
      <c r="F26" s="8"/>
      <c r="G26" s="8"/>
      <c r="H26" s="9">
        <v>1</v>
      </c>
      <c r="I26" s="8"/>
      <c r="J26" s="8"/>
      <c r="K26" s="8"/>
      <c r="L26" s="8"/>
      <c r="M26" s="8"/>
      <c r="N26" s="8"/>
      <c r="O26" s="8"/>
      <c r="P26" s="9">
        <v>1</v>
      </c>
      <c r="Q26" s="8"/>
      <c r="R26" s="8"/>
      <c r="S26" s="8"/>
      <c r="T26" s="9">
        <v>1</v>
      </c>
      <c r="U26" s="8"/>
      <c r="V26" s="8"/>
      <c r="W26" s="9">
        <v>1</v>
      </c>
      <c r="X26" s="8"/>
      <c r="Y26" s="8"/>
      <c r="Z26" s="8"/>
      <c r="AA26" s="40"/>
    </row>
    <row r="27" spans="1:27">
      <c r="A27" s="89"/>
      <c r="B27" s="5" t="s">
        <v>103</v>
      </c>
      <c r="C27" s="4" t="s">
        <v>2</v>
      </c>
      <c r="D27" s="9">
        <v>1</v>
      </c>
      <c r="E27" s="8"/>
      <c r="F27" s="9">
        <v>1</v>
      </c>
      <c r="G27" s="8"/>
      <c r="H27" s="9">
        <v>1</v>
      </c>
      <c r="I27" s="8"/>
      <c r="J27" s="8"/>
      <c r="K27" s="8"/>
      <c r="L27" s="8"/>
      <c r="M27" s="8"/>
      <c r="N27" s="8"/>
      <c r="O27" s="8"/>
      <c r="P27" s="9">
        <v>1</v>
      </c>
      <c r="Q27" s="8"/>
      <c r="R27" s="8"/>
      <c r="S27" s="9">
        <v>1</v>
      </c>
      <c r="T27" s="9">
        <v>1</v>
      </c>
      <c r="U27" s="8"/>
      <c r="V27" s="8"/>
      <c r="W27" s="9">
        <v>1</v>
      </c>
      <c r="X27" s="8"/>
      <c r="Y27" s="8"/>
      <c r="Z27" s="8"/>
      <c r="AA27" s="40"/>
    </row>
    <row r="28" spans="1:27" ht="45">
      <c r="A28" s="87" t="s">
        <v>104</v>
      </c>
      <c r="B28" s="5" t="s">
        <v>105</v>
      </c>
      <c r="C28" s="4" t="s">
        <v>2</v>
      </c>
      <c r="D28" s="8"/>
      <c r="E28" s="9">
        <v>1</v>
      </c>
      <c r="F28" s="9">
        <v>1</v>
      </c>
      <c r="G28" s="9">
        <v>1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9">
        <v>1</v>
      </c>
      <c r="X28" s="8"/>
      <c r="Y28" s="8"/>
      <c r="Z28" s="9">
        <v>1</v>
      </c>
      <c r="AA28" s="40"/>
    </row>
    <row r="29" spans="1:27" ht="30">
      <c r="A29" s="88"/>
      <c r="B29" s="5" t="s">
        <v>106</v>
      </c>
      <c r="C29" s="4" t="s">
        <v>2</v>
      </c>
      <c r="D29" s="9">
        <v>1</v>
      </c>
      <c r="E29" s="9">
        <v>1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9">
        <v>1</v>
      </c>
      <c r="Q29" s="8"/>
      <c r="R29" s="8"/>
      <c r="S29" s="8"/>
      <c r="T29" s="8"/>
      <c r="U29" s="8"/>
      <c r="V29" s="8"/>
      <c r="W29" s="9">
        <v>1</v>
      </c>
      <c r="X29" s="8"/>
      <c r="Y29" s="8"/>
      <c r="Z29" s="8"/>
      <c r="AA29" s="40"/>
    </row>
    <row r="30" spans="1:27" ht="30">
      <c r="A30" s="88"/>
      <c r="B30" s="5" t="s">
        <v>107</v>
      </c>
      <c r="C30" s="4" t="s">
        <v>2</v>
      </c>
      <c r="D30" s="9">
        <v>1</v>
      </c>
      <c r="E30" s="9">
        <v>1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40"/>
    </row>
    <row r="31" spans="1:27" ht="45">
      <c r="A31" s="89"/>
      <c r="B31" s="5" t="s">
        <v>108</v>
      </c>
      <c r="C31" s="6" t="s">
        <v>3</v>
      </c>
      <c r="D31" s="8"/>
      <c r="E31" s="8"/>
      <c r="F31" s="8"/>
      <c r="G31" s="8"/>
      <c r="H31" s="8"/>
      <c r="I31" s="8"/>
      <c r="J31" s="38">
        <v>1</v>
      </c>
      <c r="K31" s="8"/>
      <c r="L31" s="8"/>
      <c r="M31" s="9">
        <v>1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40"/>
    </row>
    <row r="32" spans="1:27">
      <c r="A32" s="90" t="s">
        <v>109</v>
      </c>
      <c r="B32" s="5" t="s">
        <v>91</v>
      </c>
      <c r="C32" s="4" t="s">
        <v>2</v>
      </c>
      <c r="D32" s="9">
        <v>1</v>
      </c>
      <c r="E32" s="9">
        <v>1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9">
        <v>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40"/>
    </row>
    <row r="33" spans="1:27" ht="30">
      <c r="A33" s="90"/>
      <c r="B33" s="5" t="s">
        <v>110</v>
      </c>
      <c r="C33" s="4" t="s">
        <v>2</v>
      </c>
      <c r="D33" s="8"/>
      <c r="E33" s="9">
        <v>1</v>
      </c>
      <c r="F33" s="9">
        <v>1</v>
      </c>
      <c r="G33" s="9">
        <v>1</v>
      </c>
      <c r="H33" s="9">
        <v>1</v>
      </c>
      <c r="I33" s="8"/>
      <c r="J33" s="8"/>
      <c r="K33" s="8"/>
      <c r="L33" s="8"/>
      <c r="M33" s="8"/>
      <c r="N33" s="8"/>
      <c r="O33" s="8"/>
      <c r="P33" s="9">
        <v>1</v>
      </c>
      <c r="Q33" s="8"/>
      <c r="R33" s="8"/>
      <c r="S33" s="8"/>
      <c r="T33" s="8"/>
      <c r="U33" s="8"/>
      <c r="V33" s="8"/>
      <c r="W33" s="9">
        <v>1</v>
      </c>
      <c r="X33" s="8"/>
      <c r="Y33" s="8"/>
      <c r="Z33" s="8"/>
      <c r="AA33" s="40"/>
    </row>
    <row r="34" spans="1:27" ht="30">
      <c r="A34" s="90"/>
      <c r="B34" s="5" t="s">
        <v>111</v>
      </c>
      <c r="C34" s="4" t="s">
        <v>2</v>
      </c>
      <c r="D34" s="9">
        <v>1</v>
      </c>
      <c r="E34" s="9">
        <v>1</v>
      </c>
      <c r="F34" s="9">
        <v>1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9">
        <v>1</v>
      </c>
      <c r="U34" s="8"/>
      <c r="V34" s="8"/>
      <c r="W34" s="8"/>
      <c r="X34" s="8"/>
      <c r="Y34" s="8"/>
      <c r="Z34" s="8"/>
      <c r="AA34" s="40"/>
    </row>
    <row r="35" spans="1:27" ht="60">
      <c r="A35" s="90"/>
      <c r="B35" s="5" t="s">
        <v>112</v>
      </c>
      <c r="C35" s="4" t="s">
        <v>4</v>
      </c>
      <c r="D35" s="8"/>
      <c r="E35" s="8"/>
      <c r="F35" s="8"/>
      <c r="G35" s="8"/>
      <c r="H35" s="8"/>
      <c r="I35" s="8"/>
      <c r="J35" s="8"/>
      <c r="K35" s="38">
        <v>1</v>
      </c>
      <c r="L35" s="38">
        <v>1</v>
      </c>
      <c r="M35" s="8"/>
      <c r="N35" s="8"/>
      <c r="O35" s="8"/>
      <c r="P35" s="8"/>
      <c r="Q35" s="8"/>
      <c r="R35" s="8"/>
      <c r="S35" s="9">
        <v>1</v>
      </c>
      <c r="T35" s="9">
        <v>1</v>
      </c>
      <c r="U35" s="8"/>
      <c r="V35" s="45">
        <v>1</v>
      </c>
      <c r="W35" s="8"/>
      <c r="X35" s="8"/>
      <c r="Y35" s="8"/>
      <c r="Z35" s="8"/>
      <c r="AA35" s="40"/>
    </row>
    <row r="36" spans="1:27">
      <c r="A36" s="90"/>
      <c r="B36" s="5" t="s">
        <v>113</v>
      </c>
      <c r="C36" s="4" t="s">
        <v>2</v>
      </c>
      <c r="D36" s="9">
        <v>1</v>
      </c>
      <c r="E36" s="9">
        <v>1</v>
      </c>
      <c r="F36" s="9">
        <v>1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9">
        <v>1</v>
      </c>
      <c r="U36" s="8"/>
      <c r="V36" s="8"/>
      <c r="W36" s="8"/>
      <c r="X36" s="8"/>
      <c r="Y36" s="8"/>
      <c r="Z36" s="8"/>
      <c r="AA36" s="40"/>
    </row>
    <row r="37" spans="1:27" ht="30">
      <c r="A37" s="90"/>
      <c r="B37" s="5" t="s">
        <v>114</v>
      </c>
      <c r="C37" s="4" t="s">
        <v>2</v>
      </c>
      <c r="D37" s="9">
        <v>1</v>
      </c>
      <c r="E37" s="9">
        <v>1</v>
      </c>
      <c r="F37" s="9">
        <v>1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9">
        <v>1</v>
      </c>
      <c r="U37" s="8"/>
      <c r="V37" s="8"/>
      <c r="W37" s="8"/>
      <c r="X37" s="8"/>
      <c r="Y37" s="8"/>
      <c r="Z37" s="8"/>
      <c r="AA37" s="40"/>
    </row>
    <row r="38" spans="1:27" ht="30">
      <c r="A38" s="90"/>
      <c r="B38" s="5" t="s">
        <v>115</v>
      </c>
      <c r="C38" s="4" t="s">
        <v>2</v>
      </c>
      <c r="D38" s="9">
        <v>1</v>
      </c>
      <c r="E38" s="9">
        <v>1</v>
      </c>
      <c r="F38" s="9">
        <v>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9">
        <v>1</v>
      </c>
      <c r="U38" s="8"/>
      <c r="V38" s="8"/>
      <c r="W38" s="8"/>
      <c r="X38" s="8"/>
      <c r="Y38" s="8"/>
      <c r="Z38" s="8"/>
      <c r="AA38" s="40"/>
    </row>
    <row r="39" spans="1:27" ht="30">
      <c r="A39" s="90"/>
      <c r="B39" s="5" t="s">
        <v>116</v>
      </c>
      <c r="C39" s="4" t="s">
        <v>2</v>
      </c>
      <c r="D39" s="9">
        <v>1</v>
      </c>
      <c r="E39" s="9">
        <v>1</v>
      </c>
      <c r="F39" s="9">
        <v>1</v>
      </c>
      <c r="G39" s="8"/>
      <c r="H39" s="9">
        <v>1</v>
      </c>
      <c r="I39" s="8"/>
      <c r="J39" s="8"/>
      <c r="K39" s="8"/>
      <c r="L39" s="8"/>
      <c r="M39" s="8"/>
      <c r="N39" s="8"/>
      <c r="O39" s="8"/>
      <c r="P39" s="9">
        <v>1</v>
      </c>
      <c r="Q39" s="8"/>
      <c r="R39" s="8"/>
      <c r="S39" s="8"/>
      <c r="T39" s="8"/>
      <c r="U39" s="8"/>
      <c r="V39" s="8"/>
      <c r="W39" s="9">
        <v>1</v>
      </c>
      <c r="X39" s="8"/>
      <c r="Y39" s="8"/>
      <c r="Z39" s="8"/>
      <c r="AA39" s="40"/>
    </row>
    <row r="40" spans="1:27" ht="30">
      <c r="A40" s="90"/>
      <c r="B40" s="5" t="s">
        <v>117</v>
      </c>
      <c r="C40" s="4" t="s">
        <v>2</v>
      </c>
      <c r="D40" s="9">
        <v>1</v>
      </c>
      <c r="E40" s="9">
        <v>1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40"/>
    </row>
    <row r="41" spans="1:27">
      <c r="A41" s="90"/>
      <c r="B41" s="5" t="s">
        <v>118</v>
      </c>
      <c r="C41" s="4" t="s">
        <v>2</v>
      </c>
      <c r="D41" s="9">
        <v>1</v>
      </c>
      <c r="E41" s="9">
        <v>1</v>
      </c>
      <c r="F41" s="8"/>
      <c r="G41" s="8"/>
      <c r="H41" s="9">
        <v>1</v>
      </c>
      <c r="I41" s="8"/>
      <c r="J41" s="8"/>
      <c r="K41" s="8"/>
      <c r="L41" s="8"/>
      <c r="M41" s="8"/>
      <c r="N41" s="8"/>
      <c r="O41" s="8"/>
      <c r="P41" s="9">
        <v>1</v>
      </c>
      <c r="Q41" s="8"/>
      <c r="R41" s="8"/>
      <c r="S41" s="8"/>
      <c r="T41" s="8"/>
      <c r="U41" s="8"/>
      <c r="V41" s="8"/>
      <c r="W41" s="9">
        <v>1</v>
      </c>
      <c r="X41" s="8"/>
      <c r="Y41" s="8"/>
      <c r="Z41" s="8"/>
      <c r="AA41" s="40"/>
    </row>
    <row r="42" spans="1:27" ht="30">
      <c r="A42" s="90"/>
      <c r="B42" s="5" t="s">
        <v>119</v>
      </c>
      <c r="C42" s="4" t="s">
        <v>2</v>
      </c>
      <c r="D42" s="9">
        <v>1</v>
      </c>
      <c r="E42" s="9">
        <v>1</v>
      </c>
      <c r="F42" s="9">
        <v>1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40"/>
    </row>
    <row r="43" spans="1:27" ht="30">
      <c r="A43" s="90"/>
      <c r="B43" s="5" t="s">
        <v>120</v>
      </c>
      <c r="C43" s="4" t="s">
        <v>2</v>
      </c>
      <c r="D43" s="8"/>
      <c r="E43" s="9">
        <v>1</v>
      </c>
      <c r="F43" s="9">
        <v>1</v>
      </c>
      <c r="G43" s="8"/>
      <c r="H43" s="9">
        <v>1</v>
      </c>
      <c r="I43" s="8"/>
      <c r="J43" s="8"/>
      <c r="K43" s="8"/>
      <c r="L43" s="8"/>
      <c r="M43" s="8"/>
      <c r="N43" s="8"/>
      <c r="O43" s="8"/>
      <c r="P43" s="9">
        <v>1</v>
      </c>
      <c r="Q43" s="8"/>
      <c r="R43" s="8"/>
      <c r="S43" s="8"/>
      <c r="T43" s="8"/>
      <c r="U43" s="8"/>
      <c r="V43" s="8"/>
      <c r="W43" s="9">
        <v>1</v>
      </c>
      <c r="X43" s="8"/>
      <c r="Y43" s="8"/>
      <c r="Z43" s="8"/>
      <c r="AA43" s="40"/>
    </row>
    <row r="44" spans="1:27">
      <c r="A44" s="90" t="s">
        <v>121</v>
      </c>
      <c r="B44" s="5" t="s">
        <v>91</v>
      </c>
      <c r="C44" s="4" t="s">
        <v>2</v>
      </c>
      <c r="D44" s="9">
        <v>1</v>
      </c>
      <c r="E44" s="9">
        <v>1</v>
      </c>
      <c r="F44" s="9">
        <v>1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40"/>
    </row>
    <row r="45" spans="1:27" ht="60">
      <c r="A45" s="90"/>
      <c r="B45" s="5" t="s">
        <v>122</v>
      </c>
      <c r="C45" s="4" t="s">
        <v>2</v>
      </c>
      <c r="D45" s="9">
        <v>1</v>
      </c>
      <c r="E45" s="9">
        <v>1</v>
      </c>
      <c r="F45" s="8"/>
      <c r="G45" s="8"/>
      <c r="H45" s="8"/>
      <c r="I45" s="8"/>
      <c r="J45" s="8"/>
      <c r="K45" s="8"/>
      <c r="L45" s="9">
        <v>1</v>
      </c>
      <c r="M45" s="8"/>
      <c r="N45" s="8"/>
      <c r="O45" s="9">
        <v>1</v>
      </c>
      <c r="P45" s="8"/>
      <c r="Q45" s="8"/>
      <c r="R45" s="8"/>
      <c r="S45" s="8"/>
      <c r="T45" s="8"/>
      <c r="U45" s="9">
        <v>1</v>
      </c>
      <c r="V45" s="8"/>
      <c r="W45" s="8"/>
      <c r="X45" s="8"/>
      <c r="Y45" s="8"/>
      <c r="Z45" s="8"/>
      <c r="AA45" s="40"/>
    </row>
    <row r="46" spans="1:27" ht="45">
      <c r="A46" s="90"/>
      <c r="B46" s="5" t="s">
        <v>123</v>
      </c>
      <c r="C46" s="6" t="s">
        <v>3</v>
      </c>
      <c r="D46" s="8"/>
      <c r="E46" s="8"/>
      <c r="F46" s="8"/>
      <c r="G46" s="8"/>
      <c r="H46" s="8"/>
      <c r="I46" s="8"/>
      <c r="J46" s="8"/>
      <c r="K46" s="8"/>
      <c r="L46" s="9">
        <v>1</v>
      </c>
      <c r="M46" s="8"/>
      <c r="N46" s="8"/>
      <c r="O46" s="9">
        <v>1</v>
      </c>
      <c r="P46" s="8"/>
      <c r="Q46" s="8"/>
      <c r="R46" s="8"/>
      <c r="S46" s="8"/>
      <c r="T46" s="8"/>
      <c r="U46" s="9">
        <v>1</v>
      </c>
      <c r="V46" s="8"/>
      <c r="W46" s="8"/>
      <c r="X46" s="8"/>
      <c r="Y46" s="8"/>
      <c r="Z46" s="8"/>
      <c r="AA46" s="40"/>
    </row>
    <row r="47" spans="1:27" ht="30">
      <c r="A47" s="90"/>
      <c r="B47" s="5" t="s">
        <v>124</v>
      </c>
      <c r="C47" s="6" t="s">
        <v>4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9">
        <v>1</v>
      </c>
      <c r="S47" s="8"/>
      <c r="T47" s="8"/>
      <c r="U47" s="9">
        <v>1</v>
      </c>
      <c r="V47" s="9">
        <v>1</v>
      </c>
      <c r="W47" s="8"/>
      <c r="X47" s="8"/>
      <c r="Y47" s="8"/>
      <c r="Z47" s="8"/>
      <c r="AA47" s="40"/>
    </row>
    <row r="48" spans="1:27">
      <c r="A48" s="90" t="s">
        <v>125</v>
      </c>
      <c r="B48" s="5" t="s">
        <v>91</v>
      </c>
      <c r="C48" s="4" t="s">
        <v>2</v>
      </c>
      <c r="D48" s="9">
        <v>1</v>
      </c>
      <c r="E48" s="9">
        <v>1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9">
        <v>1</v>
      </c>
      <c r="Q48" s="8"/>
      <c r="R48" s="8"/>
      <c r="S48" s="9">
        <v>1</v>
      </c>
      <c r="T48" s="8"/>
      <c r="U48" s="8"/>
      <c r="V48" s="8"/>
      <c r="W48" s="8"/>
      <c r="X48" s="8"/>
      <c r="Y48" s="8"/>
      <c r="Z48" s="8"/>
      <c r="AA48" s="40"/>
    </row>
    <row r="49" spans="1:27" ht="30">
      <c r="A49" s="90"/>
      <c r="B49" s="5" t="s">
        <v>126</v>
      </c>
      <c r="C49" s="4" t="s">
        <v>2</v>
      </c>
      <c r="D49" s="9">
        <v>1</v>
      </c>
      <c r="E49" s="8"/>
      <c r="F49" s="8"/>
      <c r="H49" s="9">
        <v>1</v>
      </c>
      <c r="I49" s="8"/>
      <c r="J49" s="8"/>
      <c r="K49" s="8"/>
      <c r="L49" s="8"/>
      <c r="M49" s="8"/>
      <c r="N49" s="8"/>
      <c r="O49" s="8"/>
      <c r="P49" s="9">
        <v>1</v>
      </c>
      <c r="Q49" s="8"/>
      <c r="R49" s="8"/>
      <c r="S49" s="9">
        <v>1</v>
      </c>
      <c r="T49" s="9">
        <v>1</v>
      </c>
      <c r="U49" s="8"/>
      <c r="V49" s="8"/>
      <c r="W49" s="9">
        <v>1</v>
      </c>
      <c r="X49" s="8"/>
      <c r="Y49" s="8"/>
      <c r="Z49" s="8"/>
      <c r="AA49" s="40"/>
    </row>
    <row r="50" spans="1:27" ht="30">
      <c r="A50" s="90"/>
      <c r="B50" s="5" t="s">
        <v>127</v>
      </c>
      <c r="C50" s="6" t="s">
        <v>4</v>
      </c>
      <c r="D50" s="8"/>
      <c r="E50" s="8"/>
      <c r="F50" s="8"/>
      <c r="G50" s="8"/>
      <c r="H50" s="9">
        <v>1</v>
      </c>
      <c r="I50" s="8"/>
      <c r="J50" s="8"/>
      <c r="K50" s="8"/>
      <c r="L50" s="8"/>
      <c r="M50" s="8"/>
      <c r="N50" s="8"/>
      <c r="O50" s="8"/>
      <c r="P50" s="9">
        <v>1</v>
      </c>
      <c r="Q50" s="8"/>
      <c r="R50" s="8"/>
      <c r="S50" s="9">
        <v>1</v>
      </c>
      <c r="T50" s="8"/>
      <c r="U50" s="8"/>
      <c r="V50" s="8"/>
      <c r="W50" s="9">
        <v>1</v>
      </c>
      <c r="X50" s="8"/>
      <c r="Y50" s="8"/>
      <c r="Z50" s="8"/>
      <c r="AA50" s="40"/>
    </row>
    <row r="51" spans="1:27" ht="30">
      <c r="A51" s="90"/>
      <c r="B51" s="5" t="s">
        <v>128</v>
      </c>
      <c r="C51" s="6" t="s">
        <v>4</v>
      </c>
      <c r="D51" s="8"/>
      <c r="E51" s="8"/>
      <c r="F51" s="8"/>
      <c r="G51" s="8"/>
      <c r="H51" s="9">
        <v>1</v>
      </c>
      <c r="I51" s="8"/>
      <c r="J51" s="8"/>
      <c r="K51" s="8"/>
      <c r="L51" s="8"/>
      <c r="M51" s="8"/>
      <c r="N51" s="8"/>
      <c r="O51" s="8"/>
      <c r="P51" s="9">
        <v>1</v>
      </c>
      <c r="Q51" s="8"/>
      <c r="R51" s="8"/>
      <c r="S51" s="9">
        <v>1</v>
      </c>
      <c r="T51" s="9">
        <v>1</v>
      </c>
      <c r="U51" s="8"/>
      <c r="V51" s="8"/>
      <c r="W51" s="9">
        <v>1</v>
      </c>
      <c r="X51" s="8"/>
      <c r="Y51" s="8"/>
      <c r="Z51" s="8"/>
      <c r="AA51" s="40"/>
    </row>
    <row r="52" spans="1:27">
      <c r="A52" s="90"/>
      <c r="B52" s="5" t="s">
        <v>129</v>
      </c>
      <c r="C52" s="6" t="s">
        <v>4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9">
        <v>1</v>
      </c>
      <c r="Q52" s="8"/>
      <c r="R52" s="8"/>
      <c r="S52" s="9">
        <v>1</v>
      </c>
      <c r="T52" s="8"/>
      <c r="U52" s="8"/>
      <c r="V52" s="8"/>
      <c r="W52" s="8"/>
      <c r="X52" s="8"/>
      <c r="Y52" s="8"/>
      <c r="Z52" s="8"/>
      <c r="AA52" s="40"/>
    </row>
    <row r="53" spans="1:27" ht="45">
      <c r="A53" s="90"/>
      <c r="B53" s="5" t="s">
        <v>130</v>
      </c>
      <c r="C53" s="6" t="s">
        <v>4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9">
        <v>1</v>
      </c>
      <c r="S53" s="8"/>
      <c r="T53" s="8"/>
      <c r="U53" s="9">
        <v>1</v>
      </c>
      <c r="V53" s="9">
        <v>1</v>
      </c>
      <c r="W53" s="8"/>
      <c r="X53" s="8"/>
      <c r="Y53" s="8"/>
      <c r="Z53" s="8"/>
      <c r="AA53" s="40"/>
    </row>
    <row r="54" spans="1:27" ht="30">
      <c r="A54" s="90"/>
      <c r="B54" s="5" t="s">
        <v>131</v>
      </c>
      <c r="C54" s="6" t="s">
        <v>4</v>
      </c>
      <c r="D54" s="8"/>
      <c r="E54" s="8"/>
      <c r="F54" s="8"/>
      <c r="G54" s="8"/>
      <c r="H54" s="9">
        <v>1</v>
      </c>
      <c r="I54" s="8"/>
      <c r="J54" s="8"/>
      <c r="K54" s="8"/>
      <c r="L54" s="8"/>
      <c r="M54" s="8"/>
      <c r="N54" s="8"/>
      <c r="O54" s="8"/>
      <c r="P54" s="9">
        <v>1</v>
      </c>
      <c r="Q54" s="8"/>
      <c r="R54" s="9">
        <v>1</v>
      </c>
      <c r="S54" s="9">
        <v>1</v>
      </c>
      <c r="T54" s="9">
        <v>1</v>
      </c>
      <c r="U54" s="9">
        <v>1</v>
      </c>
      <c r="V54" s="9">
        <v>1</v>
      </c>
      <c r="W54" s="9">
        <v>1</v>
      </c>
      <c r="X54" s="8"/>
      <c r="Y54" s="8"/>
      <c r="Z54" s="8"/>
      <c r="AA54" s="40"/>
    </row>
    <row r="55" spans="1:27" ht="45">
      <c r="A55" s="90"/>
      <c r="B55" s="5" t="s">
        <v>132</v>
      </c>
      <c r="C55" s="6" t="s">
        <v>4</v>
      </c>
      <c r="D55" s="8"/>
      <c r="E55" s="8"/>
      <c r="F55" s="8"/>
      <c r="G55" s="8"/>
      <c r="H55" s="9">
        <v>1</v>
      </c>
      <c r="I55" s="8"/>
      <c r="J55" s="8"/>
      <c r="K55" s="8"/>
      <c r="L55" s="8"/>
      <c r="M55" s="8"/>
      <c r="N55" s="8"/>
      <c r="O55" s="8"/>
      <c r="P55" s="8"/>
      <c r="Q55" s="8"/>
      <c r="R55" s="9">
        <v>1</v>
      </c>
      <c r="S55" s="9">
        <v>1</v>
      </c>
      <c r="T55" s="8"/>
      <c r="U55" s="9">
        <v>1</v>
      </c>
      <c r="V55" s="9">
        <v>1</v>
      </c>
      <c r="W55" s="9">
        <v>1</v>
      </c>
      <c r="X55" s="8"/>
      <c r="Y55" s="8"/>
      <c r="Z55" s="8"/>
      <c r="AA55" s="40"/>
    </row>
    <row r="56" spans="1:27" ht="60">
      <c r="A56" s="90"/>
      <c r="B56" s="5" t="s">
        <v>133</v>
      </c>
      <c r="C56" s="6" t="s">
        <v>4</v>
      </c>
      <c r="D56" s="9">
        <v>1</v>
      </c>
      <c r="E56" s="8"/>
      <c r="F56" s="8"/>
      <c r="G56" s="8"/>
      <c r="H56" s="9">
        <v>1</v>
      </c>
      <c r="I56" s="8"/>
      <c r="J56" s="8"/>
      <c r="K56" s="8"/>
      <c r="L56" s="8"/>
      <c r="M56" s="8"/>
      <c r="N56" s="8"/>
      <c r="O56" s="8"/>
      <c r="P56" s="9">
        <v>1</v>
      </c>
      <c r="Q56" s="9">
        <v>1</v>
      </c>
      <c r="R56" s="8"/>
      <c r="S56" s="9">
        <v>1</v>
      </c>
      <c r="T56" s="9">
        <v>1</v>
      </c>
      <c r="U56" s="8"/>
      <c r="V56" s="8"/>
      <c r="W56" s="9">
        <v>1</v>
      </c>
      <c r="X56" s="8"/>
      <c r="Y56" s="8"/>
      <c r="Z56" s="8"/>
      <c r="AA56" s="40"/>
    </row>
    <row r="57" spans="1:27" ht="30">
      <c r="A57" s="90"/>
      <c r="B57" s="5" t="s">
        <v>134</v>
      </c>
      <c r="C57" s="6" t="s">
        <v>4</v>
      </c>
      <c r="D57" s="9">
        <v>1</v>
      </c>
      <c r="E57" s="9">
        <v>1</v>
      </c>
      <c r="F57" s="8"/>
      <c r="G57" s="8"/>
      <c r="H57" s="9">
        <v>1</v>
      </c>
      <c r="I57" s="8"/>
      <c r="J57" s="8"/>
      <c r="K57" s="8"/>
      <c r="L57" s="8"/>
      <c r="M57" s="8"/>
      <c r="N57" s="8"/>
      <c r="O57" s="8"/>
      <c r="P57" s="9">
        <v>1</v>
      </c>
      <c r="Q57" s="8"/>
      <c r="R57" s="8"/>
      <c r="S57" s="9">
        <v>1</v>
      </c>
      <c r="T57" s="8"/>
      <c r="U57" s="8"/>
      <c r="V57" s="8"/>
      <c r="W57" s="9">
        <v>1</v>
      </c>
      <c r="X57" s="8"/>
      <c r="Y57" s="8"/>
      <c r="Z57" s="8"/>
      <c r="AA57" s="40"/>
    </row>
    <row r="58" spans="1:27" ht="45">
      <c r="A58" s="90"/>
      <c r="B58" s="5" t="s">
        <v>135</v>
      </c>
      <c r="C58" s="4" t="s">
        <v>2</v>
      </c>
      <c r="D58" s="9">
        <v>1</v>
      </c>
      <c r="E58" s="9">
        <v>1</v>
      </c>
      <c r="F58" s="8"/>
      <c r="G58" s="8"/>
      <c r="H58" s="9">
        <v>1</v>
      </c>
      <c r="I58" s="8"/>
      <c r="J58" s="8"/>
      <c r="K58" s="8"/>
      <c r="L58" s="8"/>
      <c r="M58" s="8"/>
      <c r="N58" s="8"/>
      <c r="O58" s="8"/>
      <c r="P58" s="9">
        <v>1</v>
      </c>
      <c r="Q58" s="8"/>
      <c r="R58" s="8"/>
      <c r="S58" s="9">
        <v>1</v>
      </c>
      <c r="T58" s="9">
        <v>1</v>
      </c>
      <c r="U58" s="8"/>
      <c r="V58" s="8"/>
      <c r="W58" s="9">
        <v>1</v>
      </c>
      <c r="X58" s="8"/>
      <c r="Y58" s="8"/>
      <c r="Z58" s="8"/>
      <c r="AA58" s="40"/>
    </row>
    <row r="59" spans="1:27" ht="45">
      <c r="A59" s="90"/>
      <c r="B59" s="5" t="s">
        <v>136</v>
      </c>
      <c r="C59" s="6" t="s">
        <v>4</v>
      </c>
      <c r="D59" s="8"/>
      <c r="E59" s="8"/>
      <c r="F59" s="8"/>
      <c r="G59" s="8"/>
      <c r="H59" s="8"/>
      <c r="I59" s="8"/>
      <c r="J59" s="8"/>
      <c r="K59" s="8"/>
      <c r="L59" s="38">
        <v>1</v>
      </c>
      <c r="M59" s="8"/>
      <c r="N59" s="8"/>
      <c r="O59" s="8"/>
      <c r="P59" s="8"/>
      <c r="Q59" s="8"/>
      <c r="R59" s="8"/>
      <c r="S59" s="9">
        <v>1</v>
      </c>
      <c r="T59" s="9">
        <v>1</v>
      </c>
      <c r="U59" s="8"/>
      <c r="V59" s="43">
        <v>1</v>
      </c>
      <c r="W59" s="8"/>
      <c r="X59" s="8"/>
      <c r="Y59" s="8"/>
      <c r="Z59" s="8"/>
      <c r="AA59" s="40"/>
    </row>
    <row r="60" spans="1:27" ht="30">
      <c r="A60" s="90"/>
      <c r="B60" s="5" t="s">
        <v>137</v>
      </c>
      <c r="C60" s="4" t="s">
        <v>2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9">
        <v>1</v>
      </c>
      <c r="Q60" s="8"/>
      <c r="R60" s="8"/>
      <c r="S60" s="9">
        <v>1</v>
      </c>
      <c r="T60" s="8"/>
      <c r="U60" s="8"/>
      <c r="V60" s="8"/>
      <c r="W60" s="8"/>
      <c r="X60" s="8"/>
      <c r="Y60" s="8"/>
      <c r="Z60" s="8"/>
      <c r="AA60" s="40"/>
    </row>
    <row r="61" spans="1:27" ht="30">
      <c r="A61" s="90"/>
      <c r="B61" s="5" t="s">
        <v>138</v>
      </c>
      <c r="C61" s="6" t="s">
        <v>4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9">
        <v>1</v>
      </c>
      <c r="Q61" s="9">
        <v>1</v>
      </c>
      <c r="R61" s="8"/>
      <c r="S61" s="9">
        <v>1</v>
      </c>
      <c r="T61" s="8"/>
      <c r="U61" s="8"/>
      <c r="V61" s="8"/>
      <c r="W61" s="8"/>
      <c r="X61" s="8"/>
      <c r="Y61" s="8"/>
      <c r="Z61" s="8"/>
      <c r="AA61" s="40"/>
    </row>
    <row r="62" spans="1:27" ht="30">
      <c r="A62" s="90"/>
      <c r="B62" s="5" t="s">
        <v>139</v>
      </c>
      <c r="C62" s="6" t="s">
        <v>4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9">
        <v>1</v>
      </c>
      <c r="Q62" s="9">
        <v>1</v>
      </c>
      <c r="R62" s="8"/>
      <c r="S62" s="9">
        <v>1</v>
      </c>
      <c r="T62" s="8"/>
      <c r="U62" s="8"/>
      <c r="V62" s="8"/>
      <c r="W62" s="8"/>
      <c r="X62" s="8"/>
      <c r="Y62" s="8"/>
      <c r="Z62" s="8"/>
      <c r="AA62" s="40"/>
    </row>
    <row r="63" spans="1:27" ht="30">
      <c r="A63" s="90"/>
      <c r="B63" s="5" t="s">
        <v>140</v>
      </c>
      <c r="C63" s="6" t="s">
        <v>4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9">
        <v>1</v>
      </c>
      <c r="R63" s="8"/>
      <c r="S63" s="9">
        <v>1</v>
      </c>
      <c r="T63" s="8"/>
      <c r="U63" s="8"/>
      <c r="V63" s="8"/>
      <c r="W63" s="8"/>
      <c r="X63" s="8"/>
      <c r="Y63" s="8"/>
      <c r="Z63" s="8"/>
      <c r="AA63" s="40"/>
    </row>
    <row r="64" spans="1:27" ht="45">
      <c r="A64" s="90"/>
      <c r="B64" s="5" t="s">
        <v>141</v>
      </c>
      <c r="C64" s="6" t="s">
        <v>4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9">
        <v>1</v>
      </c>
      <c r="R64" s="8"/>
      <c r="S64" s="9">
        <v>1</v>
      </c>
      <c r="T64" s="8"/>
      <c r="U64" s="8"/>
      <c r="V64" s="8"/>
      <c r="W64" s="8"/>
      <c r="X64" s="8"/>
      <c r="Y64" s="8"/>
      <c r="Z64" s="8"/>
      <c r="AA64" s="40"/>
    </row>
    <row r="65" spans="1:27">
      <c r="A65" s="90" t="s">
        <v>142</v>
      </c>
      <c r="B65" s="5" t="s">
        <v>91</v>
      </c>
      <c r="C65" s="4" t="s">
        <v>2</v>
      </c>
      <c r="D65" s="9">
        <v>1</v>
      </c>
      <c r="E65" s="9">
        <v>1</v>
      </c>
      <c r="F65" s="8"/>
      <c r="G65" s="8"/>
      <c r="H65" s="9">
        <v>1</v>
      </c>
      <c r="I65" s="8"/>
      <c r="J65" s="8"/>
      <c r="K65" s="8"/>
      <c r="L65" s="9">
        <v>1</v>
      </c>
      <c r="M65" s="8"/>
      <c r="N65" s="8"/>
      <c r="O65" s="8"/>
      <c r="P65" s="9">
        <v>1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40"/>
    </row>
    <row r="66" spans="1:27" ht="30">
      <c r="A66" s="90"/>
      <c r="B66" s="5" t="s">
        <v>143</v>
      </c>
      <c r="C66" s="6" t="s">
        <v>3</v>
      </c>
      <c r="D66" s="8"/>
      <c r="E66" s="8"/>
      <c r="F66" s="8"/>
      <c r="G66" s="8"/>
      <c r="H66" s="9">
        <v>1</v>
      </c>
      <c r="I66" s="8"/>
      <c r="J66" s="8"/>
      <c r="K66" s="8"/>
      <c r="L66" s="9">
        <v>1</v>
      </c>
      <c r="M66" s="8"/>
      <c r="N66" s="8"/>
      <c r="O66" s="8"/>
      <c r="P66" s="9">
        <v>1</v>
      </c>
      <c r="Q66" s="8"/>
      <c r="R66" s="8"/>
      <c r="S66" s="8"/>
      <c r="T66" s="9">
        <v>1</v>
      </c>
      <c r="U66" s="9">
        <v>1</v>
      </c>
      <c r="V66" s="8"/>
      <c r="W66" s="8"/>
      <c r="X66" s="8"/>
      <c r="Y66" s="8"/>
      <c r="Z66" s="8"/>
      <c r="AA66" s="40"/>
    </row>
    <row r="67" spans="1:27" ht="30">
      <c r="A67" s="90"/>
      <c r="B67" s="5" t="s">
        <v>144</v>
      </c>
      <c r="C67" s="6" t="s">
        <v>3</v>
      </c>
      <c r="D67" s="8"/>
      <c r="E67" s="8"/>
      <c r="F67" s="8"/>
      <c r="G67" s="8"/>
      <c r="H67" s="8"/>
      <c r="I67" s="8"/>
      <c r="J67" s="8"/>
      <c r="K67" s="8"/>
      <c r="L67" s="9">
        <v>1</v>
      </c>
      <c r="M67" s="8"/>
      <c r="N67" s="8"/>
      <c r="O67" s="38">
        <v>1</v>
      </c>
      <c r="P67" s="8"/>
      <c r="Q67" s="8"/>
      <c r="R67" s="8"/>
      <c r="S67" s="8"/>
      <c r="T67" s="8"/>
      <c r="U67" s="9">
        <v>1</v>
      </c>
      <c r="V67" s="8"/>
      <c r="W67" s="8"/>
      <c r="X67" s="8"/>
      <c r="Y67" s="8"/>
      <c r="Z67" s="8"/>
      <c r="AA67" s="40"/>
    </row>
    <row r="68" spans="1:27" ht="90">
      <c r="A68" s="90"/>
      <c r="B68" s="5" t="s">
        <v>145</v>
      </c>
      <c r="C68" s="6" t="s">
        <v>3</v>
      </c>
      <c r="D68" s="8"/>
      <c r="E68" s="8"/>
      <c r="F68" s="8"/>
      <c r="G68" s="8"/>
      <c r="H68" s="8"/>
      <c r="I68" s="8"/>
      <c r="J68" s="8"/>
      <c r="K68" s="8"/>
      <c r="L68" s="9">
        <v>1</v>
      </c>
      <c r="M68" s="8"/>
      <c r="N68" s="8"/>
      <c r="O68" s="38">
        <v>1</v>
      </c>
      <c r="P68" s="8"/>
      <c r="Q68" s="8"/>
      <c r="R68" s="8"/>
      <c r="S68" s="8"/>
      <c r="T68" s="8"/>
      <c r="U68" s="9">
        <v>1</v>
      </c>
      <c r="V68" s="8"/>
      <c r="W68" s="8"/>
      <c r="X68" s="8"/>
      <c r="Y68" s="8"/>
      <c r="Z68" s="8"/>
      <c r="AA68" s="40"/>
    </row>
    <row r="69" spans="1:27" ht="75">
      <c r="A69" s="90"/>
      <c r="B69" s="5" t="s">
        <v>146</v>
      </c>
      <c r="C69" s="6" t="s">
        <v>3</v>
      </c>
      <c r="D69" s="8"/>
      <c r="E69" s="8"/>
      <c r="F69" s="8"/>
      <c r="G69" s="8"/>
      <c r="H69" s="8"/>
      <c r="I69" s="8"/>
      <c r="J69" s="8"/>
      <c r="K69" s="8"/>
      <c r="L69" s="38">
        <v>1</v>
      </c>
      <c r="M69" s="8"/>
      <c r="N69" s="8"/>
      <c r="O69" s="9">
        <v>1</v>
      </c>
      <c r="P69" s="8"/>
      <c r="Q69" s="8"/>
      <c r="R69" s="8"/>
      <c r="S69" s="8"/>
      <c r="T69" s="8"/>
      <c r="U69" s="9">
        <v>1</v>
      </c>
      <c r="V69" s="8"/>
      <c r="W69" s="8"/>
      <c r="X69" s="8"/>
      <c r="Y69" s="8"/>
      <c r="Z69" s="8"/>
      <c r="AA69" s="40"/>
    </row>
    <row r="70" spans="1:27" ht="90">
      <c r="A70" s="90"/>
      <c r="B70" s="5" t="s">
        <v>147</v>
      </c>
      <c r="C70" s="6" t="s">
        <v>3</v>
      </c>
      <c r="D70" s="8"/>
      <c r="E70" s="8"/>
      <c r="F70" s="8"/>
      <c r="G70" s="8"/>
      <c r="H70" s="8"/>
      <c r="I70" s="8"/>
      <c r="J70" s="8"/>
      <c r="K70" s="8"/>
      <c r="L70" s="9">
        <v>1</v>
      </c>
      <c r="M70" s="8"/>
      <c r="N70" s="8"/>
      <c r="O70" s="38">
        <v>1</v>
      </c>
      <c r="P70" s="8"/>
      <c r="Q70" s="8"/>
      <c r="R70" s="8"/>
      <c r="S70" s="8"/>
      <c r="T70" s="8"/>
      <c r="U70" s="9">
        <v>1</v>
      </c>
      <c r="V70" s="8"/>
      <c r="W70" s="8"/>
      <c r="X70" s="8"/>
      <c r="Y70" s="8"/>
      <c r="Z70" s="8"/>
      <c r="AA70" s="40"/>
    </row>
    <row r="71" spans="1:27" ht="90">
      <c r="A71" s="90"/>
      <c r="B71" s="5" t="s">
        <v>148</v>
      </c>
      <c r="C71" s="6" t="s">
        <v>3</v>
      </c>
      <c r="D71" s="8"/>
      <c r="E71" s="8"/>
      <c r="F71" s="8"/>
      <c r="G71" s="8"/>
      <c r="H71" s="8"/>
      <c r="I71" s="8"/>
      <c r="J71" s="8"/>
      <c r="K71" s="8"/>
      <c r="L71" s="44">
        <v>1</v>
      </c>
      <c r="M71" s="8"/>
      <c r="N71" s="8"/>
      <c r="O71" s="8"/>
      <c r="P71" s="8"/>
      <c r="Q71" s="8"/>
      <c r="R71" s="8"/>
      <c r="S71" s="8"/>
      <c r="T71" s="8"/>
      <c r="U71" s="44">
        <v>1</v>
      </c>
      <c r="V71" s="8"/>
      <c r="W71" s="8"/>
      <c r="X71" s="8"/>
      <c r="Y71" s="8"/>
      <c r="Z71" s="8"/>
      <c r="AA71" s="40"/>
    </row>
    <row r="72" spans="1:27" ht="45">
      <c r="A72" s="90"/>
      <c r="B72" s="5" t="s">
        <v>149</v>
      </c>
      <c r="C72" s="6" t="s">
        <v>3</v>
      </c>
      <c r="D72" s="8"/>
      <c r="E72" s="8"/>
      <c r="F72" s="8"/>
      <c r="G72" s="8"/>
      <c r="H72" s="8"/>
      <c r="I72" s="8"/>
      <c r="J72" s="8"/>
      <c r="K72" s="8"/>
      <c r="L72" s="9">
        <v>1</v>
      </c>
      <c r="M72" s="8"/>
      <c r="N72" s="8"/>
      <c r="O72" s="9">
        <v>1</v>
      </c>
      <c r="P72" s="8"/>
      <c r="Q72" s="8"/>
      <c r="R72" s="8"/>
      <c r="S72" s="8"/>
      <c r="T72" s="8"/>
      <c r="U72" s="9">
        <v>1</v>
      </c>
      <c r="V72" s="8"/>
      <c r="W72" s="8"/>
      <c r="X72" s="8"/>
      <c r="Y72" s="8"/>
      <c r="Z72" s="8"/>
      <c r="AA72" s="40"/>
    </row>
    <row r="73" spans="1:27">
      <c r="A73" s="90"/>
      <c r="B73" s="5" t="s">
        <v>150</v>
      </c>
      <c r="C73" s="6" t="s">
        <v>4</v>
      </c>
      <c r="D73" s="8"/>
      <c r="E73" s="8"/>
      <c r="F73" s="8"/>
      <c r="G73" s="8"/>
      <c r="H73" s="8"/>
      <c r="I73" s="8"/>
      <c r="J73" s="8"/>
      <c r="K73" s="8"/>
      <c r="L73" s="43">
        <v>1</v>
      </c>
      <c r="M73" s="8"/>
      <c r="N73" s="8"/>
      <c r="O73" s="43">
        <v>1</v>
      </c>
      <c r="P73" s="8"/>
      <c r="Q73" s="8"/>
      <c r="R73" s="9">
        <v>1</v>
      </c>
      <c r="S73" s="8"/>
      <c r="T73" s="8"/>
      <c r="U73" s="59">
        <v>1</v>
      </c>
      <c r="V73" s="42">
        <v>1</v>
      </c>
      <c r="W73" s="8"/>
      <c r="X73" s="8"/>
      <c r="Y73" s="8"/>
      <c r="Z73" s="8"/>
      <c r="AA73" s="40"/>
    </row>
    <row r="74" spans="1:27" ht="45">
      <c r="A74" s="90"/>
      <c r="B74" s="5" t="s">
        <v>151</v>
      </c>
      <c r="C74" s="6" t="s">
        <v>3</v>
      </c>
      <c r="D74" s="8"/>
      <c r="E74" s="8"/>
      <c r="F74" s="8"/>
      <c r="G74" s="8"/>
      <c r="H74" s="8"/>
      <c r="I74" s="8"/>
      <c r="J74" s="8"/>
      <c r="K74" s="8"/>
      <c r="L74" s="43">
        <v>1</v>
      </c>
      <c r="M74" s="43"/>
      <c r="N74" s="8"/>
      <c r="O74" s="43">
        <v>1</v>
      </c>
      <c r="P74" s="9">
        <v>1</v>
      </c>
      <c r="Q74" s="8"/>
      <c r="R74" s="8"/>
      <c r="S74" s="9">
        <v>1</v>
      </c>
      <c r="T74" s="9">
        <v>1</v>
      </c>
      <c r="U74" s="59">
        <v>1</v>
      </c>
      <c r="V74" s="8"/>
      <c r="W74" s="8"/>
      <c r="X74" s="8"/>
      <c r="Y74" s="8"/>
      <c r="Z74" s="8"/>
      <c r="AA74" s="40"/>
    </row>
    <row r="75" spans="1:27">
      <c r="A75" s="90" t="s">
        <v>152</v>
      </c>
      <c r="B75" s="5" t="s">
        <v>91</v>
      </c>
      <c r="C75" s="4" t="s">
        <v>2</v>
      </c>
      <c r="D75" s="9">
        <v>1</v>
      </c>
      <c r="E75" s="8"/>
      <c r="F75" s="8"/>
      <c r="G75" s="8"/>
      <c r="H75" s="9">
        <v>1</v>
      </c>
      <c r="I75" s="8"/>
      <c r="J75" s="8"/>
      <c r="K75" s="8"/>
      <c r="L75" s="8"/>
      <c r="M75" s="8"/>
      <c r="N75" s="8"/>
      <c r="O75" s="8"/>
      <c r="P75" s="9">
        <v>1</v>
      </c>
      <c r="Q75" s="8"/>
      <c r="R75" s="8"/>
      <c r="S75" s="8"/>
      <c r="U75" s="8"/>
      <c r="V75" s="8"/>
      <c r="W75" s="8"/>
      <c r="X75" s="8"/>
      <c r="Y75" s="8"/>
      <c r="Z75" s="8"/>
      <c r="AA75" s="40"/>
    </row>
    <row r="76" spans="1:27" ht="30">
      <c r="A76" s="90"/>
      <c r="B76" s="5" t="s">
        <v>153</v>
      </c>
      <c r="C76" s="4" t="s">
        <v>2</v>
      </c>
      <c r="D76" s="8"/>
      <c r="E76" s="8"/>
      <c r="F76" s="8"/>
      <c r="G76" s="8"/>
      <c r="H76" s="9">
        <v>1</v>
      </c>
      <c r="I76" s="9">
        <v>1</v>
      </c>
      <c r="J76" s="8"/>
      <c r="K76" s="8"/>
      <c r="L76" s="8"/>
      <c r="M76" s="8"/>
      <c r="N76" s="8"/>
      <c r="O76" s="8"/>
      <c r="P76" s="9">
        <v>1</v>
      </c>
      <c r="Q76" s="8"/>
      <c r="R76" s="8"/>
      <c r="S76" s="8"/>
      <c r="T76" s="9">
        <v>1</v>
      </c>
      <c r="U76" s="8"/>
      <c r="V76" s="8"/>
      <c r="W76" s="8"/>
      <c r="X76" s="8"/>
      <c r="Y76" s="8"/>
      <c r="Z76" s="8"/>
      <c r="AA76" s="40"/>
    </row>
    <row r="77" spans="1:27" ht="60">
      <c r="A77" s="90"/>
      <c r="B77" s="5" t="s">
        <v>154</v>
      </c>
      <c r="C77" s="4" t="s">
        <v>2</v>
      </c>
      <c r="D77" s="8"/>
      <c r="E77" s="8"/>
      <c r="F77" s="8"/>
      <c r="G77" s="8"/>
      <c r="H77" s="9">
        <v>1</v>
      </c>
      <c r="I77" s="9">
        <v>1</v>
      </c>
      <c r="J77" s="9">
        <v>1</v>
      </c>
      <c r="K77" s="8"/>
      <c r="L77" s="8"/>
      <c r="M77" s="8"/>
      <c r="N77" s="8"/>
      <c r="O77" s="8"/>
      <c r="P77" s="43">
        <v>1</v>
      </c>
      <c r="Q77" s="8"/>
      <c r="R77" s="8"/>
      <c r="S77" s="8"/>
      <c r="T77" s="43">
        <v>1</v>
      </c>
      <c r="U77" s="8"/>
      <c r="V77" s="8"/>
      <c r="W77" s="8"/>
      <c r="X77" s="8"/>
      <c r="Y77" s="8"/>
      <c r="Z77" s="8"/>
      <c r="AA77" s="40"/>
    </row>
    <row r="78" spans="1:27" ht="45">
      <c r="A78" s="90"/>
      <c r="B78" s="5" t="s">
        <v>155</v>
      </c>
      <c r="C78" s="6" t="s">
        <v>3</v>
      </c>
      <c r="D78" s="8"/>
      <c r="E78" s="8"/>
      <c r="F78" s="8"/>
      <c r="G78" s="8"/>
      <c r="H78" s="43">
        <v>1</v>
      </c>
      <c r="I78" s="9">
        <v>1</v>
      </c>
      <c r="J78" s="9">
        <v>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40"/>
    </row>
    <row r="79" spans="1:27">
      <c r="A79" s="90"/>
      <c r="B79" s="5" t="s">
        <v>156</v>
      </c>
      <c r="C79" s="6" t="s">
        <v>3</v>
      </c>
      <c r="D79" s="8"/>
      <c r="E79" s="8"/>
      <c r="F79" s="8"/>
      <c r="G79" s="8"/>
      <c r="H79" s="43">
        <v>1</v>
      </c>
      <c r="I79" s="9">
        <v>1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40"/>
    </row>
    <row r="80" spans="1:27">
      <c r="A80" s="90"/>
      <c r="B80" s="5" t="s">
        <v>157</v>
      </c>
      <c r="C80" s="6" t="s">
        <v>3</v>
      </c>
      <c r="D80" s="8"/>
      <c r="E80" s="8"/>
      <c r="F80" s="8"/>
      <c r="G80" s="8"/>
      <c r="H80" s="43">
        <v>1</v>
      </c>
      <c r="I80" s="43">
        <v>1</v>
      </c>
      <c r="J80" s="48">
        <v>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40"/>
    </row>
    <row r="81" spans="1:27" ht="30">
      <c r="A81" s="90"/>
      <c r="B81" s="5" t="s">
        <v>158</v>
      </c>
      <c r="C81" s="6" t="s">
        <v>3</v>
      </c>
      <c r="D81" s="8"/>
      <c r="E81" s="8"/>
      <c r="F81" s="8"/>
      <c r="G81" s="8"/>
      <c r="H81" s="43">
        <v>1</v>
      </c>
      <c r="I81" s="9">
        <v>1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40"/>
    </row>
    <row r="82" spans="1:27">
      <c r="A82" s="90"/>
      <c r="B82" s="5" t="s">
        <v>159</v>
      </c>
      <c r="C82" s="6" t="s">
        <v>3</v>
      </c>
      <c r="D82" s="8"/>
      <c r="E82" s="8"/>
      <c r="F82" s="8"/>
      <c r="G82" s="8"/>
      <c r="H82" s="8"/>
      <c r="I82" s="9">
        <v>1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40"/>
    </row>
    <row r="83" spans="1:27">
      <c r="A83" s="90"/>
      <c r="B83" s="5" t="s">
        <v>160</v>
      </c>
      <c r="C83" s="6" t="s">
        <v>3</v>
      </c>
      <c r="D83" s="8"/>
      <c r="E83" s="8"/>
      <c r="F83" s="8"/>
      <c r="G83" s="8"/>
      <c r="H83" s="8"/>
      <c r="I83" s="9">
        <v>1</v>
      </c>
      <c r="J83" s="43">
        <v>1</v>
      </c>
      <c r="K83" s="8"/>
      <c r="L83" s="8"/>
      <c r="M83" s="8"/>
      <c r="N83" s="55"/>
      <c r="O83" s="55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40"/>
    </row>
    <row r="84" spans="1:27" ht="30">
      <c r="A84" s="90"/>
      <c r="B84" s="5" t="s">
        <v>161</v>
      </c>
      <c r="C84" s="6" t="s">
        <v>3</v>
      </c>
      <c r="D84" s="8"/>
      <c r="E84" s="8"/>
      <c r="F84" s="8"/>
      <c r="G84" s="8"/>
      <c r="H84" s="43">
        <v>1</v>
      </c>
      <c r="I84" s="9">
        <v>1</v>
      </c>
      <c r="J84" s="8"/>
      <c r="K84" s="8"/>
      <c r="L84" s="8"/>
      <c r="M84" s="63"/>
      <c r="N84" s="61"/>
      <c r="O84" s="62"/>
      <c r="P84" s="60"/>
      <c r="Q84" s="8"/>
      <c r="R84" s="8"/>
      <c r="S84" s="8"/>
      <c r="T84" s="8"/>
      <c r="U84" s="8"/>
      <c r="V84" s="8"/>
      <c r="W84" s="8"/>
      <c r="X84" s="8"/>
      <c r="Y84" s="8"/>
      <c r="Z84" s="8"/>
      <c r="AA84" s="40"/>
    </row>
    <row r="85" spans="1:27" ht="30">
      <c r="A85" s="90"/>
      <c r="B85" s="5" t="s">
        <v>162</v>
      </c>
      <c r="C85" s="6" t="s">
        <v>3</v>
      </c>
      <c r="D85" s="8"/>
      <c r="E85" s="8"/>
      <c r="F85" s="8"/>
      <c r="G85" s="8"/>
      <c r="H85" s="43">
        <v>1</v>
      </c>
      <c r="I85" s="43">
        <v>1</v>
      </c>
      <c r="J85" s="9">
        <v>1</v>
      </c>
      <c r="K85" s="8"/>
      <c r="L85" s="8"/>
      <c r="M85" s="63"/>
      <c r="N85" s="61"/>
      <c r="O85" s="62"/>
      <c r="P85" s="60"/>
      <c r="Q85" s="8"/>
      <c r="R85" s="8"/>
      <c r="S85" s="8"/>
      <c r="T85" s="8"/>
      <c r="U85" s="8"/>
      <c r="V85" s="8"/>
      <c r="W85" s="8"/>
      <c r="X85" s="8"/>
      <c r="Y85" s="8"/>
      <c r="Z85" s="8"/>
      <c r="AA85" s="40"/>
    </row>
    <row r="86" spans="1:27">
      <c r="A86" s="90"/>
      <c r="B86" s="5" t="s">
        <v>163</v>
      </c>
      <c r="C86" s="6" t="s">
        <v>3</v>
      </c>
      <c r="D86" s="8"/>
      <c r="E86" s="8"/>
      <c r="F86" s="8"/>
      <c r="G86" s="8"/>
      <c r="H86" s="8"/>
      <c r="I86" s="9">
        <v>1</v>
      </c>
      <c r="J86" s="43">
        <v>1</v>
      </c>
      <c r="K86" s="8"/>
      <c r="L86" s="8"/>
      <c r="M86" s="8"/>
      <c r="N86" s="64"/>
      <c r="O86" s="64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40"/>
    </row>
    <row r="87" spans="1:27" ht="30">
      <c r="A87" s="90"/>
      <c r="B87" s="5" t="s">
        <v>164</v>
      </c>
      <c r="C87" s="6" t="s">
        <v>4</v>
      </c>
      <c r="D87" s="8"/>
      <c r="E87" s="8"/>
      <c r="F87" s="8"/>
      <c r="G87" s="8"/>
      <c r="H87" s="8"/>
      <c r="I87" s="43">
        <v>1</v>
      </c>
      <c r="J87" s="43">
        <v>1</v>
      </c>
      <c r="K87" s="8"/>
      <c r="L87" s="8"/>
      <c r="M87" s="8"/>
      <c r="N87" s="8"/>
      <c r="O87" s="8"/>
      <c r="P87" s="8"/>
      <c r="Q87" s="8"/>
      <c r="R87" s="9">
        <v>1</v>
      </c>
      <c r="S87" s="8"/>
      <c r="T87" s="8"/>
      <c r="U87" s="8"/>
      <c r="V87" s="42">
        <v>1</v>
      </c>
      <c r="W87" s="8"/>
      <c r="X87" s="8"/>
      <c r="Y87" s="8"/>
      <c r="Z87" s="8"/>
      <c r="AA87" s="40"/>
    </row>
    <row r="88" spans="1:27" ht="30">
      <c r="A88" s="90"/>
      <c r="B88" s="5" t="s">
        <v>165</v>
      </c>
      <c r="C88" s="6" t="s">
        <v>3</v>
      </c>
      <c r="D88" s="8"/>
      <c r="E88" s="8"/>
      <c r="F88" s="8"/>
      <c r="G88" s="8"/>
      <c r="H88" s="8"/>
      <c r="I88" s="43">
        <v>1</v>
      </c>
      <c r="J88" s="43">
        <v>1</v>
      </c>
      <c r="K88" s="8"/>
      <c r="L88" s="8"/>
      <c r="M88" s="8"/>
      <c r="N88" s="8"/>
      <c r="O88" s="8"/>
      <c r="P88" s="9">
        <v>1</v>
      </c>
      <c r="Q88" s="8"/>
      <c r="R88" s="8"/>
      <c r="S88" s="9">
        <v>1</v>
      </c>
      <c r="T88" s="8"/>
      <c r="U88" s="8"/>
      <c r="V88" s="8"/>
      <c r="W88" s="8"/>
      <c r="X88" s="8"/>
      <c r="Y88" s="8"/>
      <c r="Z88" s="8"/>
      <c r="AA88" s="40"/>
    </row>
    <row r="89" spans="1:27">
      <c r="A89" s="90" t="s">
        <v>166</v>
      </c>
      <c r="B89" s="5" t="s">
        <v>91</v>
      </c>
      <c r="C89" s="4" t="s">
        <v>2</v>
      </c>
      <c r="D89" s="9">
        <v>1</v>
      </c>
      <c r="E89" s="9">
        <v>1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9">
        <v>1</v>
      </c>
      <c r="Q89" s="8"/>
      <c r="R89" s="8"/>
      <c r="S89" s="8"/>
      <c r="T89" s="9">
        <v>1</v>
      </c>
      <c r="U89" s="8"/>
      <c r="V89" s="8"/>
      <c r="W89" s="8"/>
      <c r="X89" s="8"/>
      <c r="Y89" s="8"/>
      <c r="Z89" s="8"/>
      <c r="AA89" s="40"/>
    </row>
    <row r="90" spans="1:27" ht="30">
      <c r="A90" s="90"/>
      <c r="B90" s="5" t="s">
        <v>167</v>
      </c>
      <c r="C90" s="4" t="s">
        <v>2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43">
        <v>1</v>
      </c>
      <c r="Q90" s="8"/>
      <c r="R90" s="8"/>
      <c r="S90" s="9">
        <v>1</v>
      </c>
      <c r="T90" s="9">
        <v>1</v>
      </c>
      <c r="U90" s="8"/>
      <c r="V90" s="45">
        <v>1</v>
      </c>
      <c r="W90" s="8"/>
      <c r="X90" s="8"/>
      <c r="Y90" s="8"/>
      <c r="Z90" s="8"/>
      <c r="AA90" s="40"/>
    </row>
    <row r="91" spans="1:27" ht="30">
      <c r="A91" s="90"/>
      <c r="B91" s="5" t="s">
        <v>168</v>
      </c>
      <c r="C91" s="4" t="s">
        <v>2</v>
      </c>
      <c r="D91" s="43">
        <v>1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43">
        <v>1</v>
      </c>
      <c r="Q91" s="8"/>
      <c r="R91" s="8"/>
      <c r="S91" s="9">
        <v>1</v>
      </c>
      <c r="T91" s="9">
        <v>1</v>
      </c>
      <c r="U91" s="8"/>
      <c r="V91" s="45">
        <v>1</v>
      </c>
      <c r="W91" s="8"/>
      <c r="X91" s="8"/>
      <c r="Y91" s="8"/>
      <c r="Z91" s="8"/>
      <c r="AA91" s="40"/>
    </row>
    <row r="92" spans="1:27" ht="45">
      <c r="A92" s="90"/>
      <c r="B92" s="5" t="s">
        <v>169</v>
      </c>
      <c r="C92" s="4" t="s">
        <v>2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9">
        <v>1</v>
      </c>
      <c r="T92" s="9">
        <v>1</v>
      </c>
      <c r="U92" s="8"/>
      <c r="V92" s="45">
        <v>1</v>
      </c>
      <c r="W92" s="8"/>
      <c r="X92" s="8"/>
      <c r="Y92" s="8"/>
      <c r="Z92" s="8"/>
      <c r="AA92" s="40"/>
    </row>
    <row r="93" spans="1:27" ht="45">
      <c r="A93" s="90"/>
      <c r="B93" s="5" t="s">
        <v>170</v>
      </c>
      <c r="C93" s="4" t="s">
        <v>4</v>
      </c>
      <c r="D93" s="8"/>
      <c r="E93" s="8"/>
      <c r="F93" s="8"/>
      <c r="G93" s="8"/>
      <c r="H93" s="8"/>
      <c r="I93" s="8"/>
      <c r="J93" s="8"/>
      <c r="K93" s="43">
        <v>1</v>
      </c>
      <c r="L93" s="8"/>
      <c r="M93" s="8"/>
      <c r="N93" s="8"/>
      <c r="O93" s="8"/>
      <c r="P93" s="8"/>
      <c r="Q93" s="8"/>
      <c r="R93" s="8"/>
      <c r="S93" s="9">
        <v>1</v>
      </c>
      <c r="T93" s="9">
        <v>1</v>
      </c>
      <c r="U93" s="8"/>
      <c r="V93" s="45">
        <v>1</v>
      </c>
      <c r="W93" s="8"/>
      <c r="X93" s="8"/>
      <c r="Y93" s="8"/>
      <c r="Z93" s="8"/>
      <c r="AA93" s="40"/>
    </row>
    <row r="94" spans="1:27" ht="30">
      <c r="A94" s="90"/>
      <c r="B94" s="5" t="s">
        <v>171</v>
      </c>
      <c r="C94" s="4" t="s">
        <v>4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9">
        <v>1</v>
      </c>
      <c r="T94" s="9">
        <v>1</v>
      </c>
      <c r="U94" s="8"/>
      <c r="V94" s="45">
        <v>1</v>
      </c>
      <c r="W94" s="8"/>
      <c r="X94" s="8"/>
      <c r="Y94" s="8"/>
      <c r="Z94" s="8"/>
      <c r="AA94" s="40"/>
    </row>
    <row r="95" spans="1:27">
      <c r="A95" s="90" t="s">
        <v>172</v>
      </c>
      <c r="B95" s="5" t="s">
        <v>91</v>
      </c>
      <c r="C95" s="4" t="s">
        <v>2</v>
      </c>
      <c r="D95" s="9">
        <v>1</v>
      </c>
      <c r="E95" s="9">
        <v>1</v>
      </c>
      <c r="F95" s="8"/>
      <c r="G95" s="8"/>
      <c r="H95" s="43">
        <v>1</v>
      </c>
      <c r="I95" s="8"/>
      <c r="J95" s="8"/>
      <c r="K95" s="8"/>
      <c r="L95" s="8"/>
      <c r="M95" s="8"/>
      <c r="N95" s="8"/>
      <c r="O95" s="8"/>
      <c r="P95" s="9">
        <v>1</v>
      </c>
      <c r="R95" s="8"/>
      <c r="S95" s="43">
        <v>1</v>
      </c>
      <c r="T95" s="43">
        <v>1</v>
      </c>
      <c r="U95" s="8"/>
      <c r="V95" s="8"/>
      <c r="W95" s="8"/>
      <c r="X95" s="8"/>
      <c r="Y95" s="8"/>
      <c r="Z95" s="8"/>
      <c r="AA95" s="40"/>
    </row>
    <row r="96" spans="1:27" ht="30">
      <c r="A96" s="90"/>
      <c r="B96" s="5" t="s">
        <v>173</v>
      </c>
      <c r="C96" s="6" t="s">
        <v>3</v>
      </c>
      <c r="D96" s="8"/>
      <c r="E96" s="8"/>
      <c r="F96" s="8"/>
      <c r="G96" s="8"/>
      <c r="H96" s="43">
        <v>1</v>
      </c>
      <c r="I96" s="8"/>
      <c r="J96" s="8"/>
      <c r="K96" s="43">
        <v>1</v>
      </c>
      <c r="L96" s="8"/>
      <c r="M96" s="8"/>
      <c r="N96" s="8"/>
      <c r="O96" s="8"/>
      <c r="P96" s="43">
        <v>1</v>
      </c>
      <c r="Q96" s="8"/>
      <c r="R96" s="8"/>
      <c r="S96" s="9">
        <v>1</v>
      </c>
      <c r="T96" s="8"/>
      <c r="U96" s="8"/>
      <c r="V96" s="9">
        <v>1</v>
      </c>
      <c r="W96" s="8"/>
      <c r="X96" s="8"/>
      <c r="Y96" s="8"/>
      <c r="Z96" s="8"/>
      <c r="AA96" s="40"/>
    </row>
    <row r="97" spans="1:27" ht="30">
      <c r="A97" s="90"/>
      <c r="B97" s="5" t="s">
        <v>174</v>
      </c>
      <c r="C97" s="6" t="s">
        <v>3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43">
        <v>1</v>
      </c>
      <c r="T97" s="8"/>
      <c r="U97" s="8"/>
      <c r="V97" s="9">
        <v>1</v>
      </c>
      <c r="W97" s="8"/>
      <c r="X97" s="8"/>
      <c r="Y97" s="8"/>
      <c r="Z97" s="8"/>
      <c r="AA97" s="40"/>
    </row>
    <row r="98" spans="1:27" ht="30">
      <c r="A98" s="90"/>
      <c r="B98" s="5" t="s">
        <v>175</v>
      </c>
      <c r="C98" s="6" t="s">
        <v>3</v>
      </c>
      <c r="D98" s="8"/>
      <c r="E98" s="8"/>
      <c r="F98" s="8"/>
      <c r="G98" s="8"/>
      <c r="H98" s="8"/>
      <c r="I98" s="8"/>
      <c r="J98" s="8"/>
      <c r="K98" s="43">
        <v>1</v>
      </c>
      <c r="L98" s="8"/>
      <c r="M98" s="8"/>
      <c r="N98" s="8"/>
      <c r="O98" s="8"/>
      <c r="P98" s="8"/>
      <c r="Q98" s="8"/>
      <c r="R98" s="8"/>
      <c r="S98" s="43">
        <v>1</v>
      </c>
      <c r="T98" s="43">
        <v>1</v>
      </c>
      <c r="U98" s="8"/>
      <c r="V98" s="9">
        <v>1</v>
      </c>
      <c r="W98" s="8"/>
      <c r="X98" s="8"/>
      <c r="Y98" s="8"/>
      <c r="Z98" s="8"/>
      <c r="AA98" s="40"/>
    </row>
    <row r="99" spans="1:27" ht="30">
      <c r="A99" s="90"/>
      <c r="B99" s="5" t="s">
        <v>176</v>
      </c>
      <c r="C99" s="6" t="s">
        <v>3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9">
        <v>1</v>
      </c>
      <c r="W99" s="8"/>
      <c r="X99" s="8"/>
      <c r="Y99" s="8"/>
      <c r="Z99" s="8"/>
      <c r="AA99" s="40"/>
    </row>
    <row r="100" spans="1:27" ht="30">
      <c r="A100" s="90"/>
      <c r="B100" s="5" t="s">
        <v>177</v>
      </c>
      <c r="C100" s="6" t="s">
        <v>3</v>
      </c>
      <c r="D100" s="8"/>
      <c r="E100" s="8"/>
      <c r="F100" s="8"/>
      <c r="G100" s="8"/>
      <c r="H100" s="43">
        <v>1</v>
      </c>
      <c r="I100" s="8"/>
      <c r="J100" s="8"/>
      <c r="K100" s="43">
        <v>1</v>
      </c>
      <c r="L100" s="8"/>
      <c r="M100" s="8"/>
      <c r="N100" s="8"/>
      <c r="O100" s="8"/>
      <c r="P100" s="43">
        <v>1</v>
      </c>
      <c r="Q100" s="8"/>
      <c r="R100" s="8"/>
      <c r="S100" s="43">
        <v>1</v>
      </c>
      <c r="T100" s="8"/>
      <c r="U100" s="8"/>
      <c r="V100" s="9">
        <v>1</v>
      </c>
      <c r="W100" s="8"/>
      <c r="X100" s="8"/>
      <c r="Y100" s="8"/>
      <c r="Z100" s="8"/>
      <c r="AA100" s="40"/>
    </row>
    <row r="101" spans="1:27" ht="30">
      <c r="A101" s="90"/>
      <c r="B101" s="5" t="s">
        <v>178</v>
      </c>
      <c r="C101" s="6" t="s">
        <v>4</v>
      </c>
      <c r="D101" s="8"/>
      <c r="E101" s="8"/>
      <c r="F101" s="8"/>
      <c r="G101" s="8"/>
      <c r="H101" s="8"/>
      <c r="I101" s="8"/>
      <c r="J101" s="8"/>
      <c r="K101" s="43">
        <v>1</v>
      </c>
      <c r="L101" s="8"/>
      <c r="M101" s="8"/>
      <c r="N101" s="8"/>
      <c r="O101" s="8"/>
      <c r="P101" s="9">
        <v>1</v>
      </c>
      <c r="Q101" s="8"/>
      <c r="R101" s="8"/>
      <c r="S101" s="9">
        <v>1</v>
      </c>
      <c r="T101" s="8"/>
      <c r="U101" s="8"/>
      <c r="V101" s="44">
        <v>1</v>
      </c>
      <c r="W101" s="8"/>
      <c r="X101" s="8"/>
      <c r="Y101" s="8"/>
      <c r="Z101" s="8"/>
      <c r="AA101" s="40"/>
    </row>
    <row r="102" spans="1:27" ht="30">
      <c r="A102" s="90"/>
      <c r="B102" s="5" t="s">
        <v>179</v>
      </c>
      <c r="C102" s="6" t="s">
        <v>4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9">
        <v>1</v>
      </c>
      <c r="T102" s="8"/>
      <c r="U102" s="8"/>
      <c r="V102" s="45">
        <v>1</v>
      </c>
      <c r="W102" s="8"/>
      <c r="X102" s="8"/>
      <c r="Y102" s="8"/>
      <c r="Z102" s="8"/>
      <c r="AA102" s="40"/>
    </row>
    <row r="103" spans="1:27">
      <c r="A103" s="90" t="s">
        <v>180</v>
      </c>
      <c r="B103" s="5" t="s">
        <v>91</v>
      </c>
      <c r="C103" s="4" t="s">
        <v>2</v>
      </c>
      <c r="D103" s="9">
        <v>1</v>
      </c>
      <c r="E103" s="8"/>
      <c r="F103" s="8"/>
      <c r="G103" s="8"/>
      <c r="H103" s="67">
        <v>1</v>
      </c>
      <c r="I103" s="8"/>
      <c r="J103" s="8"/>
      <c r="K103" s="8"/>
      <c r="L103" s="8"/>
      <c r="M103" s="8"/>
      <c r="N103" s="8"/>
      <c r="O103" s="8"/>
      <c r="P103" s="67">
        <v>1</v>
      </c>
      <c r="Q103" s="8"/>
      <c r="R103" s="8"/>
      <c r="S103" s="8"/>
      <c r="T103" s="8"/>
      <c r="U103" s="8"/>
      <c r="V103" s="8"/>
      <c r="W103" s="67">
        <v>1</v>
      </c>
      <c r="X103" s="8"/>
      <c r="Y103" s="8"/>
      <c r="Z103" s="8"/>
      <c r="AA103" s="40"/>
    </row>
    <row r="104" spans="1:27" ht="45">
      <c r="A104" s="90"/>
      <c r="B104" s="5" t="s">
        <v>181</v>
      </c>
      <c r="C104" s="6" t="s">
        <v>3</v>
      </c>
      <c r="D104" s="8"/>
      <c r="E104" s="8"/>
      <c r="F104" s="8"/>
      <c r="G104" s="8"/>
      <c r="H104" s="9">
        <v>1</v>
      </c>
      <c r="I104" s="8"/>
      <c r="J104" s="8"/>
      <c r="K104" s="43">
        <v>1</v>
      </c>
      <c r="L104" s="8"/>
      <c r="M104" s="8"/>
      <c r="N104" s="8"/>
      <c r="O104" s="9">
        <v>1</v>
      </c>
      <c r="P104" s="9">
        <v>1</v>
      </c>
      <c r="Q104" s="8"/>
      <c r="R104" s="8"/>
      <c r="S104" s="8"/>
      <c r="T104" s="8"/>
      <c r="U104" s="8"/>
      <c r="V104" s="8"/>
      <c r="W104" s="9">
        <v>1</v>
      </c>
      <c r="X104" s="8"/>
      <c r="Y104" s="8"/>
      <c r="Z104" s="8"/>
      <c r="AA104" s="40"/>
    </row>
    <row r="105" spans="1:27" ht="45">
      <c r="A105" s="90"/>
      <c r="B105" s="5" t="s">
        <v>182</v>
      </c>
      <c r="C105" s="6" t="s">
        <v>3</v>
      </c>
      <c r="D105" s="8"/>
      <c r="E105" s="8"/>
      <c r="F105" s="8"/>
      <c r="G105" s="8"/>
      <c r="H105" s="67">
        <v>1</v>
      </c>
      <c r="I105" s="8"/>
      <c r="J105" s="43">
        <v>1</v>
      </c>
      <c r="K105" s="9">
        <v>1</v>
      </c>
      <c r="L105" s="8"/>
      <c r="M105" s="8"/>
      <c r="N105" s="8"/>
      <c r="O105" s="8"/>
      <c r="P105" s="67">
        <v>1</v>
      </c>
      <c r="Q105" s="8"/>
      <c r="R105" s="8"/>
      <c r="S105" s="67">
        <v>1</v>
      </c>
      <c r="T105" s="8"/>
      <c r="U105" s="8"/>
      <c r="V105" s="8"/>
      <c r="W105" s="67">
        <v>1</v>
      </c>
      <c r="X105" s="8"/>
      <c r="Y105" s="8"/>
      <c r="Z105" s="8"/>
      <c r="AA105" s="40"/>
    </row>
    <row r="106" spans="1:27" ht="30">
      <c r="A106" s="90"/>
      <c r="B106" s="5" t="s">
        <v>183</v>
      </c>
      <c r="C106" s="6" t="s">
        <v>3</v>
      </c>
      <c r="D106" s="8"/>
      <c r="E106" s="8"/>
      <c r="F106" s="8"/>
      <c r="G106" s="8"/>
      <c r="H106" s="8"/>
      <c r="I106" s="8"/>
      <c r="J106" s="43">
        <v>1</v>
      </c>
      <c r="K106" s="9">
        <v>1</v>
      </c>
      <c r="L106" s="8"/>
      <c r="M106" s="8"/>
      <c r="N106" s="8"/>
      <c r="O106" s="8"/>
      <c r="P106" s="8"/>
      <c r="Q106" s="8"/>
      <c r="R106" s="8"/>
      <c r="S106" s="67">
        <v>1</v>
      </c>
      <c r="T106" s="8"/>
      <c r="U106" s="9">
        <v>1</v>
      </c>
      <c r="V106" s="8"/>
      <c r="W106" s="43">
        <v>1</v>
      </c>
      <c r="X106" s="9">
        <v>1</v>
      </c>
      <c r="Y106" s="8"/>
      <c r="Z106" s="8"/>
      <c r="AA106" s="40"/>
    </row>
    <row r="107" spans="1:27" ht="30">
      <c r="A107" s="90"/>
      <c r="B107" s="5" t="s">
        <v>184</v>
      </c>
      <c r="C107" s="6" t="s">
        <v>4</v>
      </c>
      <c r="D107" s="8"/>
      <c r="E107" s="8"/>
      <c r="F107" s="8"/>
      <c r="G107" s="8"/>
      <c r="H107" s="43">
        <v>1</v>
      </c>
      <c r="I107" s="9">
        <v>1</v>
      </c>
      <c r="J107" s="8"/>
      <c r="K107" s="9">
        <v>1</v>
      </c>
      <c r="L107" s="8"/>
      <c r="M107" s="8"/>
      <c r="N107" s="8"/>
      <c r="O107" s="8"/>
      <c r="P107" s="8"/>
      <c r="Q107" s="8"/>
      <c r="R107" s="9">
        <v>1</v>
      </c>
      <c r="S107" s="8"/>
      <c r="T107" s="8"/>
      <c r="U107" s="8"/>
      <c r="V107" s="67">
        <v>1</v>
      </c>
      <c r="W107" s="43">
        <v>1</v>
      </c>
      <c r="X107" s="9">
        <v>1</v>
      </c>
      <c r="Y107" s="8"/>
      <c r="Z107" s="8"/>
      <c r="AA107" s="40"/>
    </row>
    <row r="108" spans="1:27" ht="45">
      <c r="A108" s="90"/>
      <c r="B108" s="5" t="s">
        <v>185</v>
      </c>
      <c r="C108" s="6" t="s">
        <v>4</v>
      </c>
      <c r="D108" s="8"/>
      <c r="E108" s="8"/>
      <c r="F108" s="8"/>
      <c r="G108" s="8"/>
      <c r="H108" s="43">
        <v>1</v>
      </c>
      <c r="I108" s="8"/>
      <c r="J108" s="8"/>
      <c r="K108" s="9">
        <v>1</v>
      </c>
      <c r="L108" s="8"/>
      <c r="M108" s="8"/>
      <c r="N108" s="8"/>
      <c r="O108" s="8"/>
      <c r="P108" s="9">
        <v>1</v>
      </c>
      <c r="Q108" s="8"/>
      <c r="R108" s="8"/>
      <c r="S108" s="9">
        <v>1</v>
      </c>
      <c r="T108" s="8"/>
      <c r="U108" s="8"/>
      <c r="V108" s="8"/>
      <c r="W108" s="68">
        <v>1</v>
      </c>
      <c r="X108" s="9">
        <v>1</v>
      </c>
      <c r="Y108" s="8"/>
      <c r="Z108" s="8"/>
      <c r="AA108" s="40"/>
    </row>
    <row r="109" spans="1:27">
      <c r="A109" s="90" t="s">
        <v>186</v>
      </c>
      <c r="B109" s="5" t="s">
        <v>91</v>
      </c>
      <c r="C109" s="6" t="s">
        <v>5</v>
      </c>
      <c r="D109" s="67">
        <v>1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9">
        <v>1</v>
      </c>
      <c r="X109" s="8"/>
      <c r="Y109" s="8"/>
      <c r="Z109" s="8"/>
      <c r="AA109" s="40"/>
    </row>
    <row r="110" spans="1:27">
      <c r="A110" s="90"/>
      <c r="B110" s="5" t="s">
        <v>187</v>
      </c>
      <c r="C110" s="6" t="s">
        <v>5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9">
        <v>1</v>
      </c>
      <c r="Y110" s="9">
        <v>1</v>
      </c>
      <c r="AA110" s="40"/>
    </row>
    <row r="111" spans="1:27" ht="30">
      <c r="A111" s="90"/>
      <c r="B111" s="5" t="s">
        <v>188</v>
      </c>
      <c r="C111" s="6" t="s">
        <v>5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9">
        <v>1</v>
      </c>
      <c r="X111" s="9">
        <v>1</v>
      </c>
      <c r="Y111" s="9">
        <v>1</v>
      </c>
      <c r="AA111" s="40"/>
    </row>
    <row r="112" spans="1:27" ht="30">
      <c r="A112" s="90"/>
      <c r="B112" s="5" t="s">
        <v>189</v>
      </c>
      <c r="C112" s="6" t="s">
        <v>5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9">
        <v>1</v>
      </c>
      <c r="X112" s="8"/>
      <c r="Y112" s="9">
        <v>1</v>
      </c>
      <c r="Z112" s="9">
        <v>1</v>
      </c>
      <c r="AA112" s="40"/>
    </row>
    <row r="113" spans="1:27">
      <c r="A113" s="90"/>
      <c r="B113" s="5" t="s">
        <v>190</v>
      </c>
      <c r="C113" s="6" t="s">
        <v>5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9">
        <v>1</v>
      </c>
      <c r="X113" s="8"/>
      <c r="Y113" s="9">
        <v>1</v>
      </c>
      <c r="AA113" s="40"/>
    </row>
    <row r="114" spans="1:27" ht="30">
      <c r="A114" s="90"/>
      <c r="B114" s="5" t="s">
        <v>191</v>
      </c>
      <c r="C114" s="6" t="s">
        <v>5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9">
        <v>1</v>
      </c>
      <c r="Y114" s="9">
        <v>1</v>
      </c>
      <c r="Z114" s="8"/>
      <c r="AA114" s="40"/>
    </row>
    <row r="115" spans="1:27" ht="30">
      <c r="A115" s="90"/>
      <c r="B115" s="5" t="s">
        <v>192</v>
      </c>
      <c r="C115" s="6" t="s">
        <v>5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9">
        <v>1</v>
      </c>
      <c r="Y115" s="9">
        <v>1</v>
      </c>
      <c r="Z115" s="8"/>
      <c r="AA115" s="40"/>
    </row>
    <row r="116" spans="1:27" ht="30">
      <c r="A116" s="90"/>
      <c r="B116" s="5" t="s">
        <v>193</v>
      </c>
      <c r="C116" s="6" t="s">
        <v>5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9">
        <v>1</v>
      </c>
      <c r="Y116" s="9">
        <v>1</v>
      </c>
      <c r="Z116" s="8"/>
      <c r="AA116" s="40"/>
    </row>
    <row r="117" spans="1:27" ht="30">
      <c r="A117" s="90"/>
      <c r="B117" s="5" t="s">
        <v>194</v>
      </c>
      <c r="C117" s="6" t="s">
        <v>5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9">
        <v>1</v>
      </c>
      <c r="Y117" s="9">
        <v>1</v>
      </c>
      <c r="Z117" s="8"/>
      <c r="AA117" s="40"/>
    </row>
    <row r="118" spans="1:27" ht="30">
      <c r="A118" s="90"/>
      <c r="B118" s="5" t="s">
        <v>195</v>
      </c>
      <c r="C118" s="6" t="s">
        <v>5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9">
        <v>1</v>
      </c>
      <c r="Y118" s="9">
        <v>1</v>
      </c>
      <c r="Z118" s="9">
        <v>1</v>
      </c>
      <c r="AA118" s="40"/>
    </row>
    <row r="119" spans="1:27">
      <c r="A119" s="90"/>
      <c r="B119" s="5" t="s">
        <v>196</v>
      </c>
      <c r="C119" s="6" t="s">
        <v>5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9">
        <v>1</v>
      </c>
      <c r="X119" s="8"/>
      <c r="Y119" s="8"/>
      <c r="Z119" s="9">
        <v>1</v>
      </c>
      <c r="AA119" s="40"/>
    </row>
    <row r="120" spans="1:27">
      <c r="A120" s="90"/>
      <c r="B120" s="5" t="s">
        <v>197</v>
      </c>
      <c r="C120" s="6" t="s">
        <v>5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9">
        <v>1</v>
      </c>
      <c r="X120" s="8"/>
      <c r="Y120" s="8"/>
      <c r="Z120" s="9">
        <v>1</v>
      </c>
      <c r="AA120" s="40"/>
    </row>
    <row r="121" spans="1:27" ht="45">
      <c r="A121" s="90"/>
      <c r="B121" s="5" t="s">
        <v>198</v>
      </c>
      <c r="C121" s="6" t="s">
        <v>5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9">
        <v>1</v>
      </c>
      <c r="Y121" s="9">
        <v>1</v>
      </c>
      <c r="Z121" s="8"/>
      <c r="AA121" s="40"/>
    </row>
    <row r="122" spans="1:27" ht="45">
      <c r="A122" s="90"/>
      <c r="B122" s="5" t="s">
        <v>199</v>
      </c>
      <c r="C122" s="6" t="s">
        <v>5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9">
        <v>1</v>
      </c>
      <c r="Y122" s="8"/>
      <c r="Z122" s="9">
        <v>1</v>
      </c>
      <c r="AA122" s="40"/>
    </row>
    <row r="123" spans="1:27" ht="45">
      <c r="A123" s="90"/>
      <c r="B123" s="5" t="s">
        <v>200</v>
      </c>
      <c r="C123" s="6" t="s">
        <v>5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9">
        <v>1</v>
      </c>
      <c r="Y123" s="8"/>
      <c r="Z123" s="9">
        <v>1</v>
      </c>
      <c r="AA123" s="40"/>
    </row>
    <row r="124" spans="1:27" ht="30">
      <c r="A124" s="90"/>
      <c r="B124" s="5" t="s">
        <v>201</v>
      </c>
      <c r="C124" s="6" t="s">
        <v>5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9">
        <v>1</v>
      </c>
      <c r="X124" s="9">
        <v>1</v>
      </c>
      <c r="Y124" s="9">
        <v>1</v>
      </c>
      <c r="Z124" s="9">
        <v>1</v>
      </c>
      <c r="AA124" s="40"/>
    </row>
    <row r="125" spans="1:27" ht="30">
      <c r="A125" s="90"/>
      <c r="B125" s="5" t="s">
        <v>202</v>
      </c>
      <c r="C125" s="6" t="s">
        <v>5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9">
        <v>1</v>
      </c>
      <c r="X125" s="8"/>
      <c r="Y125" s="8"/>
      <c r="Z125" s="9">
        <v>1</v>
      </c>
      <c r="AA125" s="40"/>
    </row>
    <row r="126" spans="1:27" ht="30">
      <c r="A126" s="90"/>
      <c r="B126" s="5" t="s">
        <v>203</v>
      </c>
      <c r="C126" s="6" t="s">
        <v>5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9">
        <v>1</v>
      </c>
      <c r="X126" s="8"/>
      <c r="Y126" s="8"/>
      <c r="Z126" s="9">
        <v>1</v>
      </c>
      <c r="AA126" s="40"/>
    </row>
    <row r="127" spans="1:27" ht="45">
      <c r="A127" s="90"/>
      <c r="B127" s="5" t="s">
        <v>204</v>
      </c>
      <c r="C127" s="6" t="s">
        <v>5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>
        <v>1</v>
      </c>
      <c r="X127" s="8"/>
      <c r="Y127" s="9">
        <v>1</v>
      </c>
      <c r="Z127" s="9">
        <v>1</v>
      </c>
      <c r="AA127" s="40"/>
    </row>
    <row r="128" spans="1:27" ht="30">
      <c r="A128" s="90"/>
      <c r="B128" s="5" t="s">
        <v>205</v>
      </c>
      <c r="C128" s="6" t="s">
        <v>5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>
        <v>1</v>
      </c>
      <c r="X128" s="8"/>
      <c r="Y128" s="8"/>
      <c r="Z128" s="9">
        <v>1</v>
      </c>
      <c r="AA128" s="40"/>
    </row>
    <row r="129" spans="1:27">
      <c r="A129" s="90" t="s">
        <v>206</v>
      </c>
      <c r="B129" s="5" t="s">
        <v>91</v>
      </c>
      <c r="C129" s="4" t="s">
        <v>2</v>
      </c>
      <c r="D129" s="9">
        <v>1</v>
      </c>
      <c r="E129" s="9">
        <v>1</v>
      </c>
      <c r="F129" s="8"/>
      <c r="G129" s="9">
        <v>1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40"/>
    </row>
    <row r="130" spans="1:27" ht="45">
      <c r="A130" s="90"/>
      <c r="B130" s="5" t="s">
        <v>207</v>
      </c>
      <c r="C130" s="4" t="s">
        <v>2</v>
      </c>
      <c r="D130" s="8"/>
      <c r="E130" s="8"/>
      <c r="F130" s="8"/>
      <c r="G130" s="9">
        <v>1</v>
      </c>
      <c r="H130" s="67">
        <v>1</v>
      </c>
      <c r="I130" s="8"/>
      <c r="J130" s="8"/>
      <c r="K130" s="8"/>
      <c r="L130" s="8"/>
      <c r="M130" s="8"/>
      <c r="N130" s="8"/>
      <c r="O130" s="8"/>
      <c r="P130" s="67">
        <v>1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40"/>
    </row>
    <row r="131" spans="1:27" ht="30">
      <c r="A131" s="90"/>
      <c r="B131" s="5" t="s">
        <v>208</v>
      </c>
      <c r="C131" s="4" t="s">
        <v>2</v>
      </c>
      <c r="D131" s="9">
        <v>1</v>
      </c>
      <c r="E131" s="8"/>
      <c r="F131" s="8"/>
      <c r="G131" s="9">
        <v>1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40"/>
    </row>
    <row r="132" spans="1:27" ht="30">
      <c r="A132" s="90"/>
      <c r="B132" s="5" t="s">
        <v>209</v>
      </c>
      <c r="C132" s="4" t="s">
        <v>2</v>
      </c>
      <c r="D132" s="9">
        <v>1</v>
      </c>
      <c r="E132" s="8"/>
      <c r="F132" s="8"/>
      <c r="G132" s="9">
        <v>1</v>
      </c>
      <c r="H132" s="67">
        <v>1</v>
      </c>
      <c r="I132" s="8"/>
      <c r="J132" s="8"/>
      <c r="K132" s="8"/>
      <c r="L132" s="8"/>
      <c r="M132" s="8"/>
      <c r="N132" s="8"/>
      <c r="O132" s="8"/>
      <c r="P132" s="67">
        <v>1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40"/>
    </row>
    <row r="133" spans="1:27" ht="45">
      <c r="A133" s="90"/>
      <c r="B133" s="5" t="s">
        <v>210</v>
      </c>
      <c r="C133" s="4" t="s">
        <v>2</v>
      </c>
      <c r="D133" s="9">
        <v>1</v>
      </c>
      <c r="E133" s="67">
        <v>1</v>
      </c>
      <c r="F133" s="8"/>
      <c r="G133" s="8"/>
      <c r="H133" s="67">
        <v>1</v>
      </c>
      <c r="I133" s="8"/>
      <c r="J133" s="8"/>
      <c r="K133" s="8"/>
      <c r="L133" s="8"/>
      <c r="M133" s="8"/>
      <c r="N133" s="8"/>
      <c r="O133" s="8"/>
      <c r="P133" s="9">
        <v>1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40"/>
    </row>
    <row r="134" spans="1:27" ht="30">
      <c r="A134" s="90"/>
      <c r="B134" s="5" t="s">
        <v>211</v>
      </c>
      <c r="C134" s="4" t="s">
        <v>2</v>
      </c>
      <c r="D134" s="9">
        <v>1</v>
      </c>
      <c r="E134" s="8"/>
      <c r="F134" s="8"/>
      <c r="G134" s="9">
        <v>1</v>
      </c>
      <c r="H134" s="67">
        <v>1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40"/>
    </row>
    <row r="135" spans="1:27" ht="30">
      <c r="A135" s="90"/>
      <c r="B135" s="5" t="s">
        <v>212</v>
      </c>
      <c r="C135" s="4" t="s">
        <v>2</v>
      </c>
      <c r="D135" s="9">
        <v>1</v>
      </c>
      <c r="E135" s="9">
        <v>1</v>
      </c>
      <c r="F135" s="8"/>
      <c r="G135" s="9">
        <v>1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9">
        <v>1</v>
      </c>
      <c r="S135" s="8"/>
      <c r="T135" s="8"/>
      <c r="U135" s="8"/>
      <c r="V135" s="8"/>
      <c r="W135" s="9">
        <v>1</v>
      </c>
      <c r="X135" s="9">
        <v>1</v>
      </c>
      <c r="Y135" s="9">
        <v>1</v>
      </c>
      <c r="Z135" s="9">
        <v>1</v>
      </c>
      <c r="AA135" s="40"/>
    </row>
    <row r="136" spans="1:27" ht="30">
      <c r="A136" s="90"/>
      <c r="B136" s="5" t="s">
        <v>213</v>
      </c>
      <c r="C136" s="6" t="s">
        <v>3</v>
      </c>
      <c r="D136" s="8"/>
      <c r="E136" s="8"/>
      <c r="F136" s="8"/>
      <c r="G136" s="8"/>
      <c r="H136" s="67">
        <v>1</v>
      </c>
      <c r="I136" s="8"/>
      <c r="J136" s="8"/>
      <c r="K136" s="9">
        <v>1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40"/>
    </row>
    <row r="137" spans="1:27" ht="45">
      <c r="A137" s="90"/>
      <c r="B137" s="5" t="s">
        <v>214</v>
      </c>
      <c r="C137" s="6" t="s">
        <v>3</v>
      </c>
      <c r="D137" s="67">
        <v>1</v>
      </c>
      <c r="E137" s="8"/>
      <c r="F137" s="8"/>
      <c r="G137" s="8"/>
      <c r="H137" s="67">
        <v>1</v>
      </c>
      <c r="I137" s="8"/>
      <c r="J137" s="8"/>
      <c r="K137" s="9">
        <v>1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40"/>
    </row>
    <row r="138" spans="1:27" ht="30">
      <c r="A138" s="90"/>
      <c r="B138" s="5" t="s">
        <v>215</v>
      </c>
      <c r="C138" s="6" t="s">
        <v>3</v>
      </c>
      <c r="D138" s="8"/>
      <c r="E138" s="8"/>
      <c r="F138" s="8"/>
      <c r="G138" s="8"/>
      <c r="H138" s="8"/>
      <c r="I138" s="67">
        <v>1</v>
      </c>
      <c r="J138" s="8"/>
      <c r="K138" s="9">
        <v>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40"/>
    </row>
    <row r="139" spans="1:27" ht="30">
      <c r="A139" s="90"/>
      <c r="B139" s="5" t="s">
        <v>216</v>
      </c>
      <c r="C139" s="6" t="s">
        <v>4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9">
        <v>1</v>
      </c>
      <c r="S139" s="8"/>
      <c r="T139" s="8"/>
      <c r="U139" s="8"/>
      <c r="V139" s="67">
        <v>1</v>
      </c>
      <c r="W139" s="8"/>
      <c r="X139" s="8"/>
      <c r="Y139" s="8"/>
      <c r="Z139" s="8"/>
      <c r="AA139" s="40"/>
    </row>
    <row r="140" spans="1:27">
      <c r="A140" s="90" t="s">
        <v>217</v>
      </c>
      <c r="B140" s="5" t="s">
        <v>91</v>
      </c>
      <c r="C140" s="4" t="s">
        <v>2</v>
      </c>
      <c r="D140" s="9">
        <v>1</v>
      </c>
      <c r="E140" s="9">
        <v>1</v>
      </c>
      <c r="F140" s="9">
        <v>1</v>
      </c>
      <c r="G140" s="8"/>
      <c r="H140" s="67">
        <v>1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40"/>
    </row>
    <row r="141" spans="1:27" ht="45">
      <c r="A141" s="90"/>
      <c r="B141" s="5" t="s">
        <v>218</v>
      </c>
      <c r="C141" s="4" t="s">
        <v>2</v>
      </c>
      <c r="E141" s="8"/>
      <c r="F141" s="8"/>
      <c r="G141" s="8"/>
      <c r="H141" s="9">
        <v>1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9">
        <v>1</v>
      </c>
      <c r="U141" s="8"/>
      <c r="V141" s="8"/>
      <c r="W141" s="8"/>
      <c r="X141" s="8"/>
      <c r="Y141" s="8"/>
      <c r="Z141" s="8"/>
      <c r="AA141" s="40"/>
    </row>
    <row r="142" spans="1:27" ht="75">
      <c r="A142" s="90"/>
      <c r="B142" s="5" t="s">
        <v>219</v>
      </c>
      <c r="C142" s="6" t="s">
        <v>3</v>
      </c>
      <c r="D142" s="8"/>
      <c r="E142" s="8"/>
      <c r="F142" s="8"/>
      <c r="G142" s="8"/>
      <c r="I142" s="9">
        <v>1</v>
      </c>
      <c r="J142" s="43">
        <v>1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40"/>
    </row>
    <row r="143" spans="1:27" ht="30">
      <c r="A143" s="90"/>
      <c r="B143" s="5" t="s">
        <v>220</v>
      </c>
      <c r="C143" s="6" t="s">
        <v>3</v>
      </c>
      <c r="D143" s="8"/>
      <c r="E143" s="8"/>
      <c r="F143" s="8"/>
      <c r="G143" s="8"/>
      <c r="H143" s="8"/>
      <c r="I143" s="9">
        <v>1</v>
      </c>
      <c r="J143" s="43">
        <v>1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40"/>
    </row>
    <row r="144" spans="1:27" ht="30">
      <c r="A144" s="90"/>
      <c r="B144" s="5" t="s">
        <v>221</v>
      </c>
      <c r="C144" s="6" t="s">
        <v>4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9">
        <v>1</v>
      </c>
      <c r="S144" s="8"/>
      <c r="T144" s="8"/>
      <c r="U144" s="8"/>
      <c r="V144" s="67">
        <v>1</v>
      </c>
      <c r="W144" s="8"/>
      <c r="X144" s="8"/>
      <c r="Y144" s="8"/>
      <c r="Z144" s="8"/>
      <c r="AA144" s="40"/>
    </row>
    <row r="145" spans="1:27">
      <c r="A145" s="90" t="s">
        <v>222</v>
      </c>
      <c r="B145" s="5" t="s">
        <v>91</v>
      </c>
      <c r="C145" s="4" t="s">
        <v>2</v>
      </c>
      <c r="D145" s="9">
        <v>1</v>
      </c>
      <c r="E145" s="9">
        <v>1</v>
      </c>
      <c r="F145" s="9">
        <v>1</v>
      </c>
      <c r="G145" s="8"/>
      <c r="H145" s="8"/>
      <c r="I145" s="8"/>
      <c r="J145" s="8"/>
      <c r="K145" s="8"/>
      <c r="L145" s="8"/>
      <c r="M145" s="8"/>
      <c r="N145" s="8"/>
      <c r="O145" s="8"/>
      <c r="P145" s="9">
        <v>1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40"/>
    </row>
    <row r="146" spans="1:27" ht="45">
      <c r="A146" s="90"/>
      <c r="B146" s="5" t="s">
        <v>223</v>
      </c>
      <c r="C146" s="6" t="s">
        <v>3</v>
      </c>
      <c r="D146" s="67">
        <v>1</v>
      </c>
      <c r="E146" s="8"/>
      <c r="F146" s="8"/>
      <c r="G146" s="8"/>
      <c r="H146" s="8"/>
      <c r="I146" s="8"/>
      <c r="J146" s="8"/>
      <c r="K146" s="8"/>
      <c r="L146" s="67">
        <v>1</v>
      </c>
      <c r="M146" s="8"/>
      <c r="N146" s="8"/>
      <c r="O146" s="8"/>
      <c r="P146" s="8"/>
      <c r="Q146" s="8"/>
      <c r="R146" s="8"/>
      <c r="S146" s="8"/>
      <c r="T146" s="8"/>
      <c r="U146" s="9">
        <v>1</v>
      </c>
      <c r="V146" s="8"/>
      <c r="W146" s="8"/>
      <c r="X146" s="8"/>
      <c r="Y146" s="8"/>
      <c r="Z146" s="8"/>
      <c r="AA146" s="40"/>
    </row>
    <row r="147" spans="1:27" ht="45">
      <c r="A147" s="90"/>
      <c r="B147" s="5" t="s">
        <v>224</v>
      </c>
      <c r="C147" s="6" t="s">
        <v>3</v>
      </c>
      <c r="D147" s="8"/>
      <c r="E147" s="8"/>
      <c r="F147" s="8"/>
      <c r="G147" s="8"/>
      <c r="H147" s="8"/>
      <c r="I147" s="8"/>
      <c r="J147" s="8"/>
      <c r="K147" s="8"/>
      <c r="L147" s="43">
        <v>1</v>
      </c>
      <c r="M147" s="8"/>
      <c r="N147" s="8"/>
      <c r="O147" s="9">
        <v>1</v>
      </c>
      <c r="P147" s="8"/>
      <c r="Q147" s="8"/>
      <c r="R147" s="8"/>
      <c r="S147" s="8"/>
      <c r="T147" s="8"/>
      <c r="U147" s="9">
        <v>1</v>
      </c>
      <c r="V147" s="8"/>
      <c r="W147" s="8"/>
      <c r="X147" s="8"/>
      <c r="Y147" s="8"/>
      <c r="Z147" s="8"/>
      <c r="AA147" s="40"/>
    </row>
    <row r="148" spans="1:27" ht="30">
      <c r="A148" s="90"/>
      <c r="B148" s="5" t="s">
        <v>225</v>
      </c>
      <c r="C148" s="6" t="s">
        <v>3</v>
      </c>
      <c r="D148" s="8"/>
      <c r="E148" s="8"/>
      <c r="F148" s="8"/>
      <c r="G148" s="8"/>
      <c r="H148" s="8"/>
      <c r="I148" s="8"/>
      <c r="J148" s="8"/>
      <c r="K148" s="8"/>
      <c r="L148" s="43">
        <v>1</v>
      </c>
      <c r="M148" s="8"/>
      <c r="N148" s="8"/>
      <c r="O148" s="9">
        <v>1</v>
      </c>
      <c r="P148" s="8"/>
      <c r="Q148" s="8"/>
      <c r="R148" s="8"/>
      <c r="S148" s="8"/>
      <c r="T148" s="8"/>
      <c r="U148" s="9">
        <v>1</v>
      </c>
      <c r="V148" s="8"/>
      <c r="W148" s="8"/>
      <c r="X148" s="8"/>
      <c r="Y148" s="8"/>
      <c r="Z148" s="8"/>
      <c r="AA148" s="40"/>
    </row>
    <row r="149" spans="1:27" ht="30">
      <c r="A149" s="90"/>
      <c r="B149" s="5" t="s">
        <v>226</v>
      </c>
      <c r="C149" s="4" t="s">
        <v>2</v>
      </c>
      <c r="E149" s="9">
        <v>1</v>
      </c>
      <c r="F149" s="8"/>
      <c r="H149" s="8"/>
      <c r="I149" s="8"/>
      <c r="J149" s="8"/>
      <c r="K149" s="8"/>
      <c r="L149" s="43">
        <v>1</v>
      </c>
      <c r="M149" s="8"/>
      <c r="N149" s="8"/>
      <c r="O149" s="9">
        <v>1</v>
      </c>
      <c r="P149" s="8"/>
      <c r="Q149" s="8"/>
      <c r="R149" s="8"/>
      <c r="S149" s="8"/>
      <c r="T149" s="8"/>
      <c r="U149" s="9">
        <v>1</v>
      </c>
      <c r="V149" s="8"/>
      <c r="W149" s="8"/>
      <c r="X149" s="8"/>
      <c r="Y149" s="8"/>
      <c r="Z149" s="8"/>
      <c r="AA149" s="40"/>
    </row>
    <row r="150" spans="1:27" ht="30">
      <c r="A150" s="90"/>
      <c r="B150" s="5" t="s">
        <v>227</v>
      </c>
      <c r="C150" s="6" t="s">
        <v>3</v>
      </c>
      <c r="D150" s="8"/>
      <c r="E150" s="8"/>
      <c r="F150" s="8"/>
      <c r="G150" s="8"/>
      <c r="H150" s="8"/>
      <c r="I150" s="8"/>
      <c r="J150" s="8"/>
      <c r="K150" s="8"/>
      <c r="L150" s="43">
        <v>1</v>
      </c>
      <c r="M150" s="8"/>
      <c r="N150" s="8"/>
      <c r="O150" s="9">
        <v>1</v>
      </c>
      <c r="P150" s="8"/>
      <c r="Q150" s="8"/>
      <c r="R150" s="8"/>
      <c r="S150" s="8"/>
      <c r="T150" s="8"/>
      <c r="U150" s="9">
        <v>1</v>
      </c>
      <c r="V150" s="8"/>
      <c r="W150" s="8"/>
      <c r="X150" s="8"/>
      <c r="Y150" s="8"/>
      <c r="Z150" s="8"/>
      <c r="AA150" s="40"/>
    </row>
    <row r="151" spans="1:27" ht="45">
      <c r="A151" s="90"/>
      <c r="B151" s="5" t="s">
        <v>228</v>
      </c>
      <c r="C151" s="6" t="s">
        <v>4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9">
        <v>1</v>
      </c>
      <c r="S151" s="8"/>
      <c r="T151" s="8"/>
      <c r="U151" s="8"/>
      <c r="V151" s="42">
        <v>1</v>
      </c>
      <c r="W151" s="8"/>
      <c r="X151" s="8"/>
      <c r="Y151" s="8"/>
      <c r="Z151" s="8"/>
      <c r="AA151" s="40"/>
    </row>
    <row r="152" spans="1:27" ht="30">
      <c r="A152" s="87" t="s">
        <v>229</v>
      </c>
      <c r="B152" s="5" t="s">
        <v>230</v>
      </c>
      <c r="C152" s="6" t="s">
        <v>5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9">
        <v>1</v>
      </c>
      <c r="X152" s="8"/>
      <c r="Y152" s="9">
        <v>1</v>
      </c>
      <c r="Z152" s="48">
        <v>1</v>
      </c>
      <c r="AA152" s="40"/>
    </row>
    <row r="153" spans="1:27" ht="30">
      <c r="A153" s="88"/>
      <c r="B153" s="5" t="s">
        <v>231</v>
      </c>
      <c r="C153" s="6" t="s">
        <v>5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>
        <v>1</v>
      </c>
      <c r="X153" s="8"/>
      <c r="Y153" s="9">
        <v>1</v>
      </c>
      <c r="Z153" s="48">
        <v>1</v>
      </c>
      <c r="AA153" s="40"/>
    </row>
    <row r="154" spans="1:27" ht="30">
      <c r="A154" s="88"/>
      <c r="B154" s="5" t="s">
        <v>232</v>
      </c>
      <c r="C154" s="6" t="s">
        <v>5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>
        <v>1</v>
      </c>
      <c r="X154" s="8"/>
      <c r="Y154" s="9">
        <v>1</v>
      </c>
      <c r="Z154" s="48">
        <v>1</v>
      </c>
      <c r="AA154" s="40"/>
    </row>
    <row r="155" spans="1:27" ht="60">
      <c r="A155" s="88"/>
      <c r="B155" s="5" t="s">
        <v>233</v>
      </c>
      <c r="C155" s="6" t="s">
        <v>5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9">
        <v>1</v>
      </c>
      <c r="X155" s="8"/>
      <c r="Y155" s="9">
        <v>1</v>
      </c>
      <c r="Z155" s="48">
        <v>1</v>
      </c>
      <c r="AA155" s="40"/>
    </row>
    <row r="156" spans="1:27" ht="45">
      <c r="A156" s="89"/>
      <c r="B156" s="5" t="s">
        <v>234</v>
      </c>
      <c r="C156" s="6" t="s">
        <v>5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9">
        <v>1</v>
      </c>
      <c r="X156" s="8"/>
      <c r="Y156" s="9">
        <v>1</v>
      </c>
      <c r="Z156" s="48">
        <v>1</v>
      </c>
      <c r="AA156" s="40"/>
    </row>
    <row r="157" spans="1:27" ht="30">
      <c r="A157" s="12" t="s">
        <v>235</v>
      </c>
      <c r="B157" s="5" t="s">
        <v>236</v>
      </c>
      <c r="C157" s="6" t="s">
        <v>2</v>
      </c>
      <c r="D157" s="8"/>
      <c r="E157" s="9">
        <v>1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40"/>
    </row>
    <row r="158" spans="1:27">
      <c r="A158" s="90" t="s">
        <v>237</v>
      </c>
      <c r="B158" s="5" t="s">
        <v>91</v>
      </c>
      <c r="C158" s="6" t="s">
        <v>2</v>
      </c>
      <c r="D158" s="9">
        <v>1</v>
      </c>
      <c r="E158" s="77">
        <v>1</v>
      </c>
      <c r="F158" s="55"/>
      <c r="G158" s="55"/>
      <c r="H158" s="77">
        <v>1</v>
      </c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U158" s="55"/>
      <c r="V158" s="8"/>
      <c r="W158" s="9">
        <v>1</v>
      </c>
      <c r="X158" s="8"/>
      <c r="Y158" s="8"/>
      <c r="Z158" s="8"/>
      <c r="AA158" s="40"/>
    </row>
    <row r="159" spans="1:27" ht="45">
      <c r="A159" s="90"/>
      <c r="B159" s="5" t="s">
        <v>238</v>
      </c>
      <c r="C159" s="6" t="s">
        <v>3</v>
      </c>
      <c r="D159" s="8"/>
      <c r="E159" s="8"/>
      <c r="F159" s="8"/>
      <c r="G159" s="8"/>
      <c r="H159" s="69"/>
      <c r="I159" s="8"/>
      <c r="J159" s="8"/>
      <c r="K159" s="43">
        <v>1</v>
      </c>
      <c r="L159" s="8"/>
      <c r="M159" s="9">
        <v>1</v>
      </c>
      <c r="N159" s="9"/>
      <c r="O159" s="8"/>
      <c r="P159" s="8"/>
      <c r="Q159" s="8"/>
      <c r="R159" s="8"/>
      <c r="S159" s="8"/>
      <c r="T159" s="69"/>
      <c r="U159" s="8"/>
      <c r="V159" s="8"/>
      <c r="W159" s="8"/>
      <c r="X159" s="8"/>
      <c r="Y159" s="8"/>
      <c r="Z159" s="8"/>
      <c r="AA159" s="40"/>
    </row>
    <row r="160" spans="1:27" ht="30">
      <c r="A160" s="90"/>
      <c r="B160" s="5" t="s">
        <v>239</v>
      </c>
      <c r="C160" s="6" t="s">
        <v>3</v>
      </c>
      <c r="D160" s="8"/>
      <c r="E160" s="8"/>
      <c r="F160" s="8"/>
      <c r="G160" s="8"/>
      <c r="H160" s="8"/>
      <c r="I160" s="8"/>
      <c r="J160" s="8"/>
      <c r="K160" s="43">
        <v>1</v>
      </c>
      <c r="L160" s="8"/>
      <c r="M160" s="9">
        <v>1</v>
      </c>
      <c r="N160" s="9"/>
      <c r="O160" s="8"/>
      <c r="P160" s="8"/>
      <c r="Q160" s="8"/>
      <c r="R160" s="8"/>
      <c r="S160" s="8"/>
      <c r="T160" s="8"/>
      <c r="U160" s="8"/>
      <c r="V160" s="55"/>
      <c r="W160" s="55"/>
      <c r="X160" s="55"/>
      <c r="Y160" s="55"/>
      <c r="Z160" s="55"/>
      <c r="AA160" s="56"/>
    </row>
    <row r="161" spans="1:27">
      <c r="A161" s="86" t="s">
        <v>240</v>
      </c>
      <c r="B161" s="57" t="s">
        <v>241</v>
      </c>
      <c r="C161" s="58" t="s">
        <v>3</v>
      </c>
      <c r="D161" s="8"/>
      <c r="E161" s="8"/>
      <c r="F161" s="8"/>
      <c r="G161" s="8"/>
      <c r="H161" s="9">
        <v>1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40"/>
    </row>
    <row r="162" spans="1:27" ht="30">
      <c r="A162" s="86"/>
      <c r="B162" s="57" t="s">
        <v>242</v>
      </c>
      <c r="C162" s="58" t="s">
        <v>3</v>
      </c>
      <c r="D162" s="8"/>
      <c r="E162" s="8"/>
      <c r="F162" s="8"/>
      <c r="G162" s="8"/>
      <c r="H162" s="43">
        <v>1</v>
      </c>
      <c r="I162" s="8"/>
      <c r="J162" s="69"/>
      <c r="K162" s="8"/>
      <c r="L162" s="8"/>
      <c r="M162" s="48">
        <v>1</v>
      </c>
      <c r="N162" s="48"/>
      <c r="O162" s="8"/>
      <c r="P162" s="8"/>
      <c r="Q162" s="9">
        <v>1</v>
      </c>
      <c r="R162" s="8"/>
      <c r="S162" s="8"/>
      <c r="T162" s="8"/>
      <c r="U162" s="8"/>
      <c r="V162" s="8"/>
      <c r="W162" s="8"/>
      <c r="X162" s="8"/>
      <c r="Y162" s="8"/>
      <c r="Z162" s="8"/>
      <c r="AA162" s="40"/>
    </row>
    <row r="163" spans="1:27">
      <c r="A163" s="86"/>
      <c r="B163" s="57" t="s">
        <v>243</v>
      </c>
      <c r="C163" s="58" t="s">
        <v>5</v>
      </c>
      <c r="D163" s="8"/>
      <c r="E163" s="8"/>
      <c r="F163" s="8"/>
      <c r="G163" s="8"/>
      <c r="H163" s="8"/>
      <c r="I163" s="8"/>
      <c r="J163" s="48">
        <v>1</v>
      </c>
      <c r="K163" s="43">
        <v>1</v>
      </c>
      <c r="L163" s="8"/>
      <c r="M163" s="69"/>
      <c r="N163" s="48"/>
      <c r="O163" s="8"/>
      <c r="P163" s="8"/>
      <c r="Q163" s="8"/>
      <c r="R163" s="8"/>
      <c r="S163" s="8"/>
      <c r="T163" s="8"/>
      <c r="U163" s="8"/>
      <c r="V163" s="55"/>
      <c r="W163" s="55"/>
      <c r="X163" s="70">
        <v>1</v>
      </c>
      <c r="Y163" s="55"/>
      <c r="Z163" s="55"/>
      <c r="AA163" s="56"/>
    </row>
    <row r="164" spans="1:27" ht="45">
      <c r="A164" s="81" t="s">
        <v>244</v>
      </c>
      <c r="B164" s="72" t="s">
        <v>245</v>
      </c>
      <c r="C164" s="72" t="s">
        <v>246</v>
      </c>
      <c r="D164" s="8"/>
      <c r="E164" s="8"/>
      <c r="F164" s="8"/>
      <c r="G164" s="8"/>
      <c r="H164" s="48">
        <v>1</v>
      </c>
      <c r="I164" s="48">
        <v>1</v>
      </c>
      <c r="J164" s="48">
        <v>1</v>
      </c>
      <c r="K164" s="48">
        <v>1</v>
      </c>
      <c r="L164" s="48">
        <v>1</v>
      </c>
      <c r="M164" s="48">
        <v>1</v>
      </c>
      <c r="N164" s="8"/>
      <c r="O164" s="8"/>
      <c r="P164" s="8"/>
      <c r="Q164" s="8"/>
      <c r="R164" s="48">
        <v>1</v>
      </c>
      <c r="S164" s="8"/>
      <c r="T164" s="8"/>
      <c r="U164" s="48">
        <v>1</v>
      </c>
      <c r="V164" s="48">
        <v>1</v>
      </c>
      <c r="W164" s="48">
        <v>1</v>
      </c>
      <c r="X164" s="8"/>
      <c r="Y164" s="8"/>
      <c r="Z164" s="48">
        <v>1</v>
      </c>
      <c r="AA164" s="40"/>
    </row>
    <row r="165" spans="1:27">
      <c r="A165" s="81"/>
      <c r="B165" s="71" t="s">
        <v>247</v>
      </c>
      <c r="C165" s="72" t="s">
        <v>248</v>
      </c>
      <c r="D165" s="8"/>
      <c r="E165" s="8"/>
      <c r="F165" s="8"/>
      <c r="G165" s="8"/>
      <c r="H165" s="48">
        <v>1</v>
      </c>
      <c r="I165" s="8"/>
      <c r="J165" s="48">
        <v>1</v>
      </c>
      <c r="K165" s="8"/>
      <c r="L165" s="8"/>
      <c r="M165" s="69"/>
      <c r="N165" s="8"/>
      <c r="O165" s="8"/>
      <c r="P165" s="48">
        <v>1</v>
      </c>
      <c r="Q165" s="8"/>
      <c r="R165" s="8"/>
      <c r="S165" s="48">
        <v>1</v>
      </c>
      <c r="T165" s="48">
        <v>1</v>
      </c>
      <c r="U165" s="8"/>
      <c r="V165" s="8"/>
      <c r="W165" s="48">
        <v>1</v>
      </c>
      <c r="X165" s="8"/>
      <c r="Y165" s="8"/>
      <c r="Z165" s="8"/>
      <c r="AA165" s="40"/>
    </row>
    <row r="166" spans="1:27" ht="45">
      <c r="A166" s="81"/>
      <c r="B166" s="73" t="s">
        <v>249</v>
      </c>
      <c r="C166" s="72" t="s">
        <v>250</v>
      </c>
      <c r="D166" s="8"/>
      <c r="E166" s="8"/>
      <c r="F166" s="8"/>
      <c r="G166" s="8"/>
      <c r="H166" s="48">
        <v>1</v>
      </c>
      <c r="I166" s="8"/>
      <c r="J166" s="8"/>
      <c r="K166" s="8"/>
      <c r="L166" s="8"/>
      <c r="M166" s="69"/>
      <c r="N166" s="8"/>
      <c r="O166" s="8"/>
      <c r="P166" s="48">
        <v>1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40"/>
    </row>
    <row r="167" spans="1:27">
      <c r="A167" s="81"/>
      <c r="B167" s="71" t="s">
        <v>251</v>
      </c>
      <c r="C167" s="72" t="s">
        <v>252</v>
      </c>
      <c r="D167" s="8"/>
      <c r="E167" s="8"/>
      <c r="F167" s="8"/>
      <c r="G167" s="8"/>
      <c r="H167" s="8"/>
      <c r="I167" s="48">
        <v>1</v>
      </c>
      <c r="J167" s="48">
        <v>1</v>
      </c>
      <c r="K167" s="48">
        <v>1</v>
      </c>
      <c r="L167" s="48">
        <v>1</v>
      </c>
      <c r="M167" s="48">
        <v>1</v>
      </c>
      <c r="N167" s="8"/>
      <c r="O167" s="8"/>
      <c r="P167" s="8"/>
      <c r="Q167" s="48">
        <v>1</v>
      </c>
      <c r="R167" s="48">
        <v>1</v>
      </c>
      <c r="S167" s="48">
        <v>1</v>
      </c>
      <c r="T167" s="48">
        <v>1</v>
      </c>
      <c r="U167" s="48">
        <v>1</v>
      </c>
      <c r="V167" s="48">
        <v>1</v>
      </c>
      <c r="W167" s="48">
        <v>1</v>
      </c>
      <c r="X167" s="8"/>
      <c r="Y167" s="48">
        <v>1</v>
      </c>
      <c r="Z167" s="48">
        <v>1</v>
      </c>
      <c r="AA167" s="40"/>
    </row>
    <row r="168" spans="1:27">
      <c r="A168" s="81"/>
      <c r="B168" s="71" t="s">
        <v>253</v>
      </c>
      <c r="C168" s="71" t="s">
        <v>254</v>
      </c>
      <c r="D168" s="48">
        <v>1</v>
      </c>
      <c r="E168" s="48">
        <v>1</v>
      </c>
      <c r="F168" s="8"/>
      <c r="G168" s="8"/>
      <c r="H168" s="8"/>
      <c r="I168" s="8"/>
      <c r="J168" s="8"/>
      <c r="K168" s="8"/>
      <c r="L168" s="69"/>
      <c r="M168" s="69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40"/>
    </row>
    <row r="169" spans="1:27" ht="45">
      <c r="A169" s="75" t="s">
        <v>255</v>
      </c>
      <c r="B169" s="75" t="s">
        <v>256</v>
      </c>
      <c r="C169" s="74" t="s">
        <v>257</v>
      </c>
      <c r="D169" s="8"/>
      <c r="E169" s="8"/>
      <c r="F169" s="8"/>
      <c r="G169" s="8"/>
      <c r="H169" s="8"/>
      <c r="I169" s="8"/>
      <c r="J169" s="8"/>
      <c r="K169" s="48">
        <v>1</v>
      </c>
      <c r="L169" s="48">
        <v>1</v>
      </c>
      <c r="N169" s="8"/>
      <c r="O169" s="8"/>
      <c r="P169" s="8"/>
      <c r="Q169" s="8"/>
      <c r="R169" s="8"/>
      <c r="S169" s="8"/>
      <c r="T169" s="8"/>
      <c r="U169" s="48">
        <v>1</v>
      </c>
      <c r="V169" s="8"/>
      <c r="W169" s="8"/>
      <c r="X169" s="8"/>
      <c r="Y169" s="8"/>
      <c r="Z169" s="8"/>
      <c r="AA169" s="40"/>
    </row>
    <row r="170" spans="1:27" ht="135">
      <c r="A170" s="81" t="s">
        <v>258</v>
      </c>
      <c r="B170" s="73" t="s">
        <v>259</v>
      </c>
      <c r="C170" s="72" t="s">
        <v>260</v>
      </c>
      <c r="D170" s="8"/>
      <c r="E170" s="8"/>
      <c r="F170" s="8"/>
      <c r="G170" s="8"/>
      <c r="H170" s="48">
        <v>1</v>
      </c>
      <c r="I170" s="48">
        <v>1</v>
      </c>
      <c r="J170" s="48">
        <v>1</v>
      </c>
      <c r="K170" s="48">
        <v>1</v>
      </c>
      <c r="L170" s="48">
        <v>1</v>
      </c>
      <c r="M170" s="48">
        <v>1</v>
      </c>
      <c r="N170" s="8"/>
      <c r="O170" s="8"/>
      <c r="P170" s="48">
        <v>1</v>
      </c>
      <c r="Q170" s="48">
        <v>1</v>
      </c>
      <c r="R170" s="48">
        <v>1</v>
      </c>
      <c r="S170" s="48">
        <v>1</v>
      </c>
      <c r="T170" s="48">
        <v>1</v>
      </c>
      <c r="U170" s="48">
        <v>1</v>
      </c>
      <c r="V170" s="48">
        <v>1</v>
      </c>
      <c r="W170" s="8"/>
      <c r="X170" s="8"/>
      <c r="Y170" s="8"/>
      <c r="Z170" s="8"/>
      <c r="AA170" s="40"/>
    </row>
    <row r="171" spans="1:27" ht="75">
      <c r="A171" s="81"/>
      <c r="B171" s="73" t="s">
        <v>261</v>
      </c>
      <c r="C171" s="72" t="s">
        <v>262</v>
      </c>
      <c r="D171" s="48">
        <v>1</v>
      </c>
      <c r="E171" s="48">
        <v>1</v>
      </c>
      <c r="F171" s="8"/>
      <c r="G171" s="8"/>
      <c r="H171" s="8"/>
      <c r="I171" s="8"/>
      <c r="J171" s="8"/>
      <c r="K171" s="8"/>
      <c r="L171" s="8"/>
      <c r="M171" s="69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40"/>
    </row>
    <row r="172" spans="1:27" ht="90">
      <c r="A172" s="81"/>
      <c r="B172" s="73" t="s">
        <v>263</v>
      </c>
      <c r="C172" s="72" t="s">
        <v>264</v>
      </c>
      <c r="D172" s="48">
        <v>1</v>
      </c>
      <c r="E172" s="48">
        <v>1</v>
      </c>
      <c r="F172" s="8"/>
      <c r="G172" s="8"/>
      <c r="H172" s="8"/>
      <c r="I172" s="8"/>
      <c r="J172" s="8"/>
      <c r="K172" s="8"/>
      <c r="L172" s="8"/>
      <c r="M172" s="69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40"/>
    </row>
    <row r="173" spans="1:27">
      <c r="A173" s="81" t="s">
        <v>265</v>
      </c>
      <c r="B173" s="74" t="s">
        <v>266</v>
      </c>
      <c r="C173" s="74" t="s">
        <v>267</v>
      </c>
      <c r="D173" s="60"/>
      <c r="E173" s="8"/>
      <c r="F173" s="8"/>
      <c r="G173" s="8"/>
      <c r="H173" s="8"/>
      <c r="I173" s="8"/>
      <c r="J173" s="8"/>
      <c r="K173" s="8"/>
      <c r="L173" s="8"/>
      <c r="M173" s="69"/>
      <c r="N173" s="8"/>
      <c r="O173" s="8"/>
      <c r="P173" s="8"/>
      <c r="Q173" s="8"/>
      <c r="R173" s="8"/>
      <c r="S173" s="8"/>
      <c r="T173" s="8"/>
      <c r="U173" s="8"/>
      <c r="V173" s="8"/>
      <c r="W173" s="48">
        <v>1</v>
      </c>
      <c r="X173" s="8"/>
      <c r="Y173" s="8"/>
      <c r="Z173" s="48">
        <v>1</v>
      </c>
      <c r="AA173" s="40"/>
    </row>
    <row r="174" spans="1:27">
      <c r="A174" s="81"/>
      <c r="B174" s="74" t="s">
        <v>268</v>
      </c>
      <c r="C174" s="74" t="s">
        <v>269</v>
      </c>
      <c r="D174" s="60"/>
      <c r="E174" s="8"/>
      <c r="F174" s="8"/>
      <c r="G174" s="8"/>
      <c r="H174" s="8"/>
      <c r="I174" s="8"/>
      <c r="J174" s="8"/>
      <c r="K174" s="8"/>
      <c r="L174" s="8"/>
      <c r="M174" s="69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48">
        <v>1</v>
      </c>
      <c r="Z174" s="48">
        <v>1</v>
      </c>
      <c r="AA174" s="40"/>
    </row>
    <row r="175" spans="1:27" ht="66" customHeight="1">
      <c r="A175" s="81"/>
      <c r="B175" s="74" t="s">
        <v>270</v>
      </c>
      <c r="C175" s="74" t="s">
        <v>271</v>
      </c>
      <c r="D175" s="60"/>
      <c r="E175" s="8"/>
      <c r="F175" s="8"/>
      <c r="G175" s="8"/>
      <c r="H175" s="8"/>
      <c r="I175" s="8"/>
      <c r="J175" s="8"/>
      <c r="K175" s="8"/>
      <c r="L175" s="8"/>
      <c r="M175" s="48">
        <v>1</v>
      </c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79"/>
      <c r="Z175" s="79"/>
      <c r="AA175" s="40"/>
    </row>
    <row r="176" spans="1:27" ht="60">
      <c r="A176" s="73" t="s">
        <v>272</v>
      </c>
      <c r="B176" s="73" t="s">
        <v>273</v>
      </c>
      <c r="C176" s="74" t="s">
        <v>274</v>
      </c>
      <c r="D176" s="60"/>
      <c r="E176" s="8"/>
      <c r="F176" s="48">
        <v>1</v>
      </c>
      <c r="G176" s="48">
        <v>1</v>
      </c>
      <c r="H176" s="8"/>
      <c r="I176" s="8"/>
      <c r="J176" s="8"/>
      <c r="K176" s="8"/>
      <c r="L176" s="8"/>
      <c r="M176" s="69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40"/>
    </row>
    <row r="177" spans="1:27" ht="150">
      <c r="A177" s="81" t="s">
        <v>275</v>
      </c>
      <c r="B177" s="73" t="s">
        <v>276</v>
      </c>
      <c r="C177" s="74" t="s">
        <v>277</v>
      </c>
      <c r="D177" s="60"/>
      <c r="E177" s="8"/>
      <c r="F177" s="8"/>
      <c r="G177" s="8"/>
      <c r="H177" s="8"/>
      <c r="I177" s="8"/>
      <c r="J177" s="8"/>
      <c r="K177" s="8"/>
      <c r="L177" s="8"/>
      <c r="M177" s="69"/>
      <c r="N177" s="8"/>
      <c r="O177" s="8"/>
      <c r="P177" s="8"/>
      <c r="Q177" s="8"/>
      <c r="R177" s="8"/>
      <c r="S177" s="48">
        <v>1</v>
      </c>
      <c r="T177" s="48">
        <v>1</v>
      </c>
      <c r="U177" s="8"/>
      <c r="V177" s="48">
        <v>1</v>
      </c>
      <c r="W177" s="8"/>
      <c r="X177" s="8"/>
      <c r="Y177" s="8"/>
      <c r="Z177" s="8"/>
      <c r="AA177" s="40"/>
    </row>
    <row r="178" spans="1:27" ht="60">
      <c r="A178" s="81"/>
      <c r="B178" s="73" t="s">
        <v>278</v>
      </c>
      <c r="C178" s="78" t="s">
        <v>279</v>
      </c>
      <c r="D178" s="60"/>
      <c r="E178" s="8"/>
      <c r="F178" s="8"/>
      <c r="G178" s="8"/>
      <c r="H178" s="48">
        <v>1</v>
      </c>
      <c r="I178" s="48">
        <v>1</v>
      </c>
      <c r="J178" s="8"/>
      <c r="K178" s="48">
        <v>1</v>
      </c>
      <c r="L178" s="48">
        <v>1</v>
      </c>
      <c r="M178" s="69"/>
      <c r="N178" s="8"/>
      <c r="O178" s="8"/>
      <c r="P178" s="8"/>
      <c r="Q178" s="48">
        <v>1</v>
      </c>
      <c r="R178" s="8"/>
      <c r="S178" s="48">
        <v>1</v>
      </c>
      <c r="T178" s="8"/>
      <c r="U178" s="48">
        <v>1</v>
      </c>
      <c r="V178" s="8"/>
      <c r="W178" s="48">
        <v>1</v>
      </c>
      <c r="X178" s="8"/>
      <c r="Y178" s="8"/>
      <c r="Z178" s="48">
        <v>1</v>
      </c>
      <c r="AA178" s="40"/>
    </row>
    <row r="179" spans="1:27" ht="75">
      <c r="A179" s="81" t="s">
        <v>280</v>
      </c>
      <c r="B179" s="73" t="s">
        <v>281</v>
      </c>
      <c r="C179" s="74" t="s">
        <v>282</v>
      </c>
      <c r="D179" s="60"/>
      <c r="E179" s="8"/>
      <c r="F179" s="8"/>
      <c r="G179" s="8"/>
      <c r="H179" s="8"/>
      <c r="I179" s="8"/>
      <c r="J179" s="8"/>
      <c r="K179" s="8"/>
      <c r="L179" s="8"/>
      <c r="M179" s="69"/>
      <c r="N179" s="8"/>
      <c r="O179" s="8"/>
      <c r="P179" s="8"/>
      <c r="Q179" s="8"/>
      <c r="R179" s="8"/>
      <c r="S179" s="8"/>
      <c r="T179" s="8"/>
      <c r="U179" s="8"/>
      <c r="V179" s="8"/>
      <c r="W179" s="48">
        <v>1</v>
      </c>
      <c r="X179" s="8"/>
      <c r="Y179" s="48">
        <v>1</v>
      </c>
      <c r="Z179" s="8"/>
      <c r="AA179" s="40"/>
    </row>
    <row r="180" spans="1:27" ht="45">
      <c r="A180" s="81"/>
      <c r="B180" s="73" t="s">
        <v>283</v>
      </c>
      <c r="C180" s="74" t="s">
        <v>284</v>
      </c>
      <c r="D180" s="60"/>
      <c r="E180" s="8"/>
      <c r="F180" s="8"/>
      <c r="G180" s="8"/>
      <c r="H180" s="8"/>
      <c r="I180" s="8"/>
      <c r="J180" s="8"/>
      <c r="K180" s="8"/>
      <c r="L180" s="48">
        <v>1</v>
      </c>
      <c r="M180" s="69"/>
      <c r="N180" s="8"/>
      <c r="O180" s="8"/>
      <c r="P180" s="8"/>
      <c r="Q180" s="8"/>
      <c r="R180" s="8"/>
      <c r="S180" s="8"/>
      <c r="T180" s="8"/>
      <c r="U180" s="48">
        <v>1</v>
      </c>
      <c r="V180" s="8"/>
      <c r="W180" s="8"/>
      <c r="X180" s="8"/>
      <c r="Y180" s="8"/>
      <c r="Z180" s="8"/>
      <c r="AA180" s="40"/>
    </row>
    <row r="181" spans="1:27" ht="60">
      <c r="A181" s="81"/>
      <c r="B181" s="73" t="s">
        <v>285</v>
      </c>
      <c r="C181" s="74" t="s">
        <v>286</v>
      </c>
      <c r="D181" s="60"/>
      <c r="E181" s="8"/>
      <c r="F181" s="8"/>
      <c r="G181" s="8"/>
      <c r="H181" s="8"/>
      <c r="I181" s="8"/>
      <c r="J181" s="8"/>
      <c r="K181" s="8"/>
      <c r="L181" s="48">
        <v>1</v>
      </c>
      <c r="M181" s="69"/>
      <c r="N181" s="8"/>
      <c r="O181" s="8"/>
      <c r="P181" s="8"/>
      <c r="Q181" s="8"/>
      <c r="R181" s="8"/>
      <c r="S181" s="8"/>
      <c r="T181" s="8"/>
      <c r="U181" s="48">
        <v>1</v>
      </c>
      <c r="V181" s="8"/>
      <c r="W181" s="8"/>
      <c r="X181" s="8"/>
      <c r="Y181" s="8"/>
      <c r="Z181" s="8"/>
      <c r="AA181" s="40"/>
    </row>
    <row r="182" spans="1:27" ht="60">
      <c r="A182" s="73" t="s">
        <v>287</v>
      </c>
      <c r="B182" s="73" t="s">
        <v>288</v>
      </c>
      <c r="C182" s="73" t="s">
        <v>289</v>
      </c>
      <c r="D182" s="48">
        <v>1</v>
      </c>
      <c r="E182" s="8"/>
      <c r="F182" s="8"/>
      <c r="G182" s="48">
        <v>1</v>
      </c>
      <c r="H182" s="8"/>
      <c r="I182" s="8"/>
      <c r="J182" s="8"/>
      <c r="K182" s="8"/>
      <c r="L182" s="8"/>
      <c r="M182" s="69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40"/>
    </row>
    <row r="183" spans="1:27" ht="30">
      <c r="A183" s="81" t="s">
        <v>290</v>
      </c>
      <c r="B183" s="73" t="s">
        <v>291</v>
      </c>
      <c r="C183" s="74" t="s">
        <v>292</v>
      </c>
      <c r="D183" s="60"/>
      <c r="E183" s="8"/>
      <c r="F183" s="8"/>
      <c r="G183" s="8"/>
      <c r="H183" s="48">
        <v>1</v>
      </c>
      <c r="I183" s="48">
        <v>1</v>
      </c>
      <c r="J183" s="8"/>
      <c r="K183" s="8"/>
      <c r="L183" s="8"/>
      <c r="M183" s="69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40"/>
    </row>
    <row r="184" spans="1:27" ht="30">
      <c r="A184" s="81"/>
      <c r="B184" s="80" t="s">
        <v>293</v>
      </c>
      <c r="C184" s="73" t="s">
        <v>294</v>
      </c>
      <c r="D184" s="60"/>
      <c r="E184" s="8"/>
      <c r="F184" s="8"/>
      <c r="G184" s="8"/>
      <c r="H184" s="8"/>
      <c r="I184" s="42"/>
      <c r="J184" s="8"/>
      <c r="K184" s="8"/>
      <c r="L184" s="8"/>
      <c r="M184" s="69"/>
      <c r="N184" s="8"/>
      <c r="O184" s="8"/>
      <c r="P184" s="48">
        <v>1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40"/>
    </row>
    <row r="185" spans="1:27" ht="30">
      <c r="A185" s="81"/>
      <c r="B185" s="73" t="s">
        <v>295</v>
      </c>
      <c r="C185" s="73" t="s">
        <v>296</v>
      </c>
      <c r="D185" s="60"/>
      <c r="E185" s="8"/>
      <c r="F185" s="8"/>
      <c r="G185" s="8"/>
      <c r="H185" s="8"/>
      <c r="I185" s="8"/>
      <c r="J185" s="8"/>
      <c r="K185" s="8"/>
      <c r="L185" s="8"/>
      <c r="M185" s="69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40"/>
    </row>
    <row r="186" spans="1:27" ht="45">
      <c r="A186" s="75" t="s">
        <v>297</v>
      </c>
      <c r="B186" s="75" t="s">
        <v>298</v>
      </c>
      <c r="C186" s="76" t="s">
        <v>299</v>
      </c>
      <c r="D186" s="48">
        <v>1</v>
      </c>
      <c r="E186" s="8"/>
      <c r="F186" s="8"/>
      <c r="G186" s="48">
        <v>1</v>
      </c>
      <c r="H186" s="8"/>
      <c r="I186" s="8"/>
      <c r="J186" s="8"/>
      <c r="K186" s="8"/>
      <c r="L186" s="8"/>
      <c r="M186" s="69"/>
      <c r="N186" s="8"/>
      <c r="O186" s="8"/>
      <c r="P186" s="8"/>
      <c r="Q186" s="8"/>
      <c r="R186" s="8"/>
      <c r="S186" s="8"/>
      <c r="T186" s="8"/>
      <c r="U186" s="8"/>
      <c r="V186" s="8"/>
      <c r="W186" s="44">
        <v>1</v>
      </c>
      <c r="X186" s="8"/>
      <c r="Y186" s="44">
        <v>1</v>
      </c>
      <c r="Z186" s="8"/>
      <c r="AA186" s="40"/>
    </row>
    <row r="187" spans="1:27" ht="49.5" customHeight="1">
      <c r="A187" s="81" t="s">
        <v>300</v>
      </c>
      <c r="B187" s="73" t="s">
        <v>301</v>
      </c>
      <c r="C187" s="74" t="s">
        <v>302</v>
      </c>
      <c r="D187" s="60"/>
      <c r="E187" s="8"/>
      <c r="F187" s="8"/>
      <c r="G187" s="8"/>
      <c r="H187" s="8"/>
      <c r="I187" s="8"/>
      <c r="J187" s="8"/>
      <c r="K187" s="8"/>
      <c r="L187" s="8"/>
      <c r="M187" s="69"/>
      <c r="N187" s="8"/>
      <c r="O187" s="8"/>
      <c r="P187" s="8"/>
      <c r="Q187" s="48">
        <v>1</v>
      </c>
      <c r="R187" s="8"/>
      <c r="S187" s="8"/>
      <c r="T187" s="8"/>
      <c r="U187" s="48">
        <v>1</v>
      </c>
      <c r="V187" s="8"/>
      <c r="W187" s="8"/>
      <c r="X187" s="8"/>
      <c r="Y187" s="8"/>
      <c r="Z187" s="8"/>
      <c r="AA187" s="40"/>
    </row>
    <row r="188" spans="1:27" ht="90">
      <c r="A188" s="81"/>
      <c r="B188" s="73" t="s">
        <v>303</v>
      </c>
      <c r="C188" s="74" t="s">
        <v>304</v>
      </c>
      <c r="D188" s="60"/>
      <c r="E188" s="8"/>
      <c r="F188" s="8"/>
      <c r="G188" s="8"/>
      <c r="H188" s="8"/>
      <c r="I188" s="8"/>
      <c r="J188" s="48">
        <v>1</v>
      </c>
      <c r="K188" s="8"/>
      <c r="L188" s="8"/>
      <c r="M188" s="48">
        <v>1</v>
      </c>
      <c r="N188" s="8"/>
      <c r="O188" s="8"/>
      <c r="P188" s="48">
        <v>1</v>
      </c>
      <c r="Q188" s="8"/>
      <c r="R188" s="8"/>
      <c r="S188" s="48">
        <v>1</v>
      </c>
      <c r="T188" s="48">
        <v>1</v>
      </c>
      <c r="U188" s="8"/>
      <c r="V188" s="8"/>
      <c r="W188" s="8"/>
      <c r="X188" s="8"/>
      <c r="Y188" s="8"/>
      <c r="Z188" s="8"/>
      <c r="AA188" s="40"/>
    </row>
    <row r="189" spans="1:27" ht="105">
      <c r="A189" s="81"/>
      <c r="B189" s="73" t="s">
        <v>305</v>
      </c>
      <c r="C189" s="74" t="s">
        <v>306</v>
      </c>
      <c r="D189" s="60"/>
      <c r="E189" s="8"/>
      <c r="F189" s="8"/>
      <c r="G189" s="8"/>
      <c r="H189" s="8"/>
      <c r="I189" s="8"/>
      <c r="J189" s="8"/>
      <c r="K189" s="8"/>
      <c r="L189" s="8"/>
      <c r="M189" s="48">
        <v>1</v>
      </c>
      <c r="N189" s="8"/>
      <c r="O189" s="8"/>
      <c r="P189" s="8"/>
      <c r="Q189" s="8"/>
      <c r="R189" s="48">
        <v>1</v>
      </c>
      <c r="S189" s="48">
        <v>1</v>
      </c>
      <c r="T189" s="8"/>
      <c r="U189" s="48">
        <v>1</v>
      </c>
      <c r="V189" s="48">
        <v>1</v>
      </c>
      <c r="W189" s="8"/>
      <c r="X189" s="8"/>
      <c r="Y189" s="8"/>
      <c r="Z189" s="8"/>
      <c r="AA189" s="40"/>
    </row>
    <row r="190" spans="1:27" ht="60">
      <c r="A190" s="81" t="s">
        <v>307</v>
      </c>
      <c r="B190" s="73" t="s">
        <v>308</v>
      </c>
      <c r="C190" s="74" t="s">
        <v>309</v>
      </c>
      <c r="D190" s="60"/>
      <c r="E190" s="8"/>
      <c r="F190" s="8"/>
      <c r="G190" s="8"/>
      <c r="H190" s="8"/>
      <c r="I190" s="8"/>
      <c r="J190" s="8"/>
      <c r="K190" s="8"/>
      <c r="L190" s="8"/>
      <c r="M190" s="69"/>
      <c r="N190" s="8"/>
      <c r="O190" s="8"/>
      <c r="P190" s="8"/>
      <c r="Q190" s="8"/>
      <c r="R190" s="8"/>
      <c r="S190" s="8"/>
      <c r="T190" s="8"/>
      <c r="U190" s="8"/>
      <c r="V190" s="8"/>
      <c r="W190" s="48">
        <v>1</v>
      </c>
      <c r="X190" s="8"/>
      <c r="Y190" s="48">
        <v>1</v>
      </c>
      <c r="Z190" s="8"/>
      <c r="AA190" s="40"/>
    </row>
    <row r="191" spans="1:27" ht="135">
      <c r="A191" s="82"/>
      <c r="B191" s="75" t="s">
        <v>310</v>
      </c>
      <c r="C191" s="76" t="s">
        <v>311</v>
      </c>
      <c r="D191" s="60"/>
      <c r="E191" s="8"/>
      <c r="F191" s="8"/>
      <c r="G191" s="8"/>
      <c r="H191" s="8"/>
      <c r="I191" s="8"/>
      <c r="J191" s="8"/>
      <c r="K191" s="8"/>
      <c r="L191" s="8"/>
      <c r="M191" s="69"/>
      <c r="N191" s="8"/>
      <c r="O191" s="8"/>
      <c r="P191" s="8"/>
      <c r="Q191" s="8"/>
      <c r="R191" s="8"/>
      <c r="S191" s="8"/>
      <c r="T191" s="8"/>
      <c r="U191" s="8"/>
      <c r="V191" s="8"/>
      <c r="W191" s="48">
        <v>1</v>
      </c>
      <c r="X191" s="8"/>
      <c r="Y191" s="8"/>
      <c r="Z191" s="48">
        <v>1</v>
      </c>
      <c r="AA191" s="40"/>
    </row>
    <row r="192" spans="1:27" ht="120">
      <c r="A192" s="73" t="s">
        <v>312</v>
      </c>
      <c r="B192" s="80" t="s">
        <v>313</v>
      </c>
      <c r="C192" s="74" t="s">
        <v>314</v>
      </c>
      <c r="D192" s="60"/>
      <c r="E192" s="8"/>
      <c r="F192" s="8"/>
      <c r="G192" s="8"/>
      <c r="H192" s="48">
        <v>1</v>
      </c>
      <c r="I192" s="48">
        <v>1</v>
      </c>
      <c r="J192" s="8"/>
      <c r="K192" s="8"/>
      <c r="L192" s="8"/>
      <c r="M192" s="69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40"/>
    </row>
    <row r="193" spans="1:27" ht="75">
      <c r="A193" s="73" t="s">
        <v>315</v>
      </c>
      <c r="B193" s="73" t="s">
        <v>316</v>
      </c>
      <c r="C193" s="74" t="s">
        <v>317</v>
      </c>
      <c r="D193" s="60"/>
      <c r="E193" s="8"/>
      <c r="F193" s="8"/>
      <c r="G193" s="8"/>
      <c r="H193" s="8"/>
      <c r="I193" s="8"/>
      <c r="J193" s="8"/>
      <c r="K193" s="8"/>
      <c r="L193" s="8"/>
      <c r="M193" s="69"/>
      <c r="N193" s="8"/>
      <c r="O193" s="8"/>
      <c r="P193" s="8"/>
      <c r="Q193" s="8"/>
      <c r="R193" s="48">
        <v>1</v>
      </c>
      <c r="S193" s="8"/>
      <c r="T193" s="8"/>
      <c r="U193" s="48">
        <v>1</v>
      </c>
      <c r="V193" s="8"/>
      <c r="W193" s="8"/>
      <c r="X193" s="8"/>
      <c r="Y193" s="8"/>
      <c r="Z193" s="8"/>
      <c r="AA193" s="40"/>
    </row>
    <row r="194" spans="1:27" ht="44.25" customHeight="1">
      <c r="A194" s="81" t="s">
        <v>318</v>
      </c>
      <c r="B194" s="73" t="s">
        <v>319</v>
      </c>
      <c r="C194" s="74" t="s">
        <v>320</v>
      </c>
      <c r="D194" s="60"/>
      <c r="E194" s="8"/>
      <c r="F194" s="8"/>
      <c r="G194" s="8"/>
      <c r="H194" s="8"/>
      <c r="I194" s="8"/>
      <c r="J194" s="8"/>
      <c r="K194" s="8"/>
      <c r="L194" s="8"/>
      <c r="M194" s="69"/>
      <c r="N194" s="8"/>
      <c r="O194" s="8"/>
      <c r="P194" s="8"/>
      <c r="Q194" s="8"/>
      <c r="R194" s="8"/>
      <c r="S194" s="48">
        <v>1</v>
      </c>
      <c r="T194" s="48">
        <v>1</v>
      </c>
      <c r="U194" s="8"/>
      <c r="V194" s="8"/>
      <c r="W194" s="8"/>
      <c r="X194" s="8"/>
      <c r="Y194" s="8"/>
      <c r="Z194" s="8"/>
      <c r="AA194" s="40"/>
    </row>
    <row r="195" spans="1:27" ht="45">
      <c r="A195" s="81"/>
      <c r="B195" s="73" t="s">
        <v>321</v>
      </c>
      <c r="C195" s="73" t="s">
        <v>322</v>
      </c>
      <c r="D195" s="60"/>
      <c r="E195" s="8"/>
      <c r="F195" s="8"/>
      <c r="G195" s="8"/>
      <c r="H195" s="8"/>
      <c r="I195" s="8"/>
      <c r="J195" s="8"/>
      <c r="K195" s="8"/>
      <c r="L195" s="8"/>
      <c r="M195" s="69"/>
      <c r="N195" s="8"/>
      <c r="O195" s="8"/>
      <c r="P195" s="8"/>
      <c r="Q195" s="48">
        <v>1</v>
      </c>
      <c r="R195" s="8"/>
      <c r="S195" s="8"/>
      <c r="T195" s="8"/>
      <c r="U195" s="48">
        <v>1</v>
      </c>
      <c r="V195" s="8"/>
      <c r="W195" s="8"/>
      <c r="X195" s="8"/>
      <c r="Y195" s="8"/>
      <c r="Z195" s="8"/>
      <c r="AA195" s="40"/>
    </row>
    <row r="196" spans="1:27" ht="75">
      <c r="A196" s="73" t="s">
        <v>323</v>
      </c>
      <c r="B196" s="73" t="s">
        <v>324</v>
      </c>
      <c r="C196" s="74" t="s">
        <v>325</v>
      </c>
      <c r="D196" s="48">
        <v>1</v>
      </c>
      <c r="E196" s="48">
        <v>1</v>
      </c>
      <c r="F196" s="8"/>
      <c r="G196" s="8"/>
      <c r="H196" s="8"/>
      <c r="I196" s="8"/>
      <c r="J196" s="8"/>
      <c r="K196" s="8"/>
      <c r="L196" s="8"/>
      <c r="M196" s="69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40"/>
    </row>
    <row r="197" spans="1:27" ht="21">
      <c r="D197" s="10">
        <f t="shared" ref="D197:M197" si="0">SUM(D3:D196)</f>
        <v>52</v>
      </c>
      <c r="E197" s="10">
        <f t="shared" si="0"/>
        <v>45</v>
      </c>
      <c r="F197" s="10">
        <f t="shared" si="0"/>
        <v>27</v>
      </c>
      <c r="G197" s="10">
        <f t="shared" si="0"/>
        <v>19</v>
      </c>
      <c r="H197" s="10">
        <f t="shared" si="0"/>
        <v>53</v>
      </c>
      <c r="I197" s="10">
        <f t="shared" si="0"/>
        <v>27</v>
      </c>
      <c r="J197" s="10">
        <f t="shared" si="0"/>
        <v>20</v>
      </c>
      <c r="K197" s="10">
        <f t="shared" si="0"/>
        <v>26</v>
      </c>
      <c r="L197" s="10">
        <f t="shared" si="0"/>
        <v>27</v>
      </c>
      <c r="M197" s="10">
        <f t="shared" si="0"/>
        <v>11</v>
      </c>
      <c r="N197" s="10">
        <f t="shared" ref="N197:AA197" si="1">SUM(N1:N163)</f>
        <v>1</v>
      </c>
      <c r="O197" s="10">
        <f t="shared" si="1"/>
        <v>14</v>
      </c>
      <c r="P197" s="10">
        <f>SUM(P3:P196)</f>
        <v>49</v>
      </c>
      <c r="Q197" s="10">
        <f>SUM(Q3:Q196)</f>
        <v>12</v>
      </c>
      <c r="R197" s="10">
        <f>SUM(R3:R196)</f>
        <v>16</v>
      </c>
      <c r="S197" s="10">
        <f>SUM(S3:S196)</f>
        <v>43</v>
      </c>
      <c r="T197" s="10">
        <f>SUM(T3:T196)</f>
        <v>34</v>
      </c>
      <c r="U197" s="10"/>
      <c r="V197" s="10">
        <f t="shared" ref="V197:Z197" si="2">SUM(V3:V196)</f>
        <v>29</v>
      </c>
      <c r="W197" s="10">
        <f t="shared" si="2"/>
        <v>54</v>
      </c>
      <c r="X197" s="10">
        <f t="shared" si="2"/>
        <v>15</v>
      </c>
      <c r="Y197" s="10">
        <f t="shared" si="2"/>
        <v>23</v>
      </c>
      <c r="Z197" s="10">
        <f t="shared" si="2"/>
        <v>25</v>
      </c>
      <c r="AA197" s="10">
        <f t="shared" si="1"/>
        <v>0</v>
      </c>
    </row>
  </sheetData>
  <autoFilter ref="A2:AA197" xr:uid="{A2D890C3-AAF7-4204-9F5D-27B409A2118F}"/>
  <mergeCells count="34">
    <mergeCell ref="W1:AA1"/>
    <mergeCell ref="P1:V1"/>
    <mergeCell ref="A152:A156"/>
    <mergeCell ref="A12:A15"/>
    <mergeCell ref="A16:A23"/>
    <mergeCell ref="A3:A4"/>
    <mergeCell ref="A32:A43"/>
    <mergeCell ref="A44:A47"/>
    <mergeCell ref="A48:A64"/>
    <mergeCell ref="A65:A74"/>
    <mergeCell ref="A95:A102"/>
    <mergeCell ref="A103:A108"/>
    <mergeCell ref="A109:A128"/>
    <mergeCell ref="D1:G1"/>
    <mergeCell ref="A24:A27"/>
    <mergeCell ref="A28:A31"/>
    <mergeCell ref="A164:A168"/>
    <mergeCell ref="A170:A172"/>
    <mergeCell ref="H1:O1"/>
    <mergeCell ref="A161:A163"/>
    <mergeCell ref="A5:A11"/>
    <mergeCell ref="A75:A88"/>
    <mergeCell ref="A89:A94"/>
    <mergeCell ref="A158:A160"/>
    <mergeCell ref="A129:A139"/>
    <mergeCell ref="A140:A144"/>
    <mergeCell ref="A145:A151"/>
    <mergeCell ref="A190:A191"/>
    <mergeCell ref="A194:A195"/>
    <mergeCell ref="A173:A175"/>
    <mergeCell ref="A177:A178"/>
    <mergeCell ref="A179:A181"/>
    <mergeCell ref="A183:A185"/>
    <mergeCell ref="A187:A189"/>
  </mergeCells>
  <pageMargins left="0.7" right="0.7" top="0.75" bottom="0.75" header="0.3" footer="0.3"/>
  <pageSetup paperSize="9" orientation="portrait" r:id="rId1"/>
  <headerFooter>
    <oddHeader>&amp;C&amp;G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C3C6B4-34D8-4F68-9323-5EC02CC68C35}">
          <x14:formula1>
            <xm:f>'Напрями УІБ'!$A$2:$A$5</xm:f>
          </x14:formula1>
          <xm:sqref>C3:C196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4760D18C84344EB0C4C14575FE7FC2" ma:contentTypeVersion="17" ma:contentTypeDescription="Create a new document." ma:contentTypeScope="" ma:versionID="cfe4aa459012eb25583a40bca5bc5790">
  <xsd:schema xmlns:xsd="http://www.w3.org/2001/XMLSchema" xmlns:xs="http://www.w3.org/2001/XMLSchema" xmlns:p="http://schemas.microsoft.com/office/2006/metadata/properties" xmlns:ns1="http://schemas.microsoft.com/sharepoint/v3" xmlns:ns2="4b720944-d7aa-40c2-ab4d-171c02e34bac" xmlns:ns3="0d8146b9-9789-431e-97bb-436304eba577" targetNamespace="http://schemas.microsoft.com/office/2006/metadata/properties" ma:root="true" ma:fieldsID="c25d419a6591ba1a62f9195a9f9df66c" ns1:_="" ns2:_="" ns3:_="">
    <xsd:import namespace="http://schemas.microsoft.com/sharepoint/v3"/>
    <xsd:import namespace="4b720944-d7aa-40c2-ab4d-171c02e34bac"/>
    <xsd:import namespace="0d8146b9-9789-431e-97bb-436304eba57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20944-d7aa-40c2-ab4d-171c02e34b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6b04524-2948-4a07-aaab-3dfc3ac0c62c}" ma:internalName="TaxCatchAll" ma:showField="CatchAllData" ma:web="4b720944-d7aa-40c2-ab4d-171c02e34b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146b9-9789-431e-97bb-436304eba5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d15919-82a2-4e9c-992e-e8962e9d68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8146b9-9789-431e-97bb-436304eba577">
      <Terms xmlns="http://schemas.microsoft.com/office/infopath/2007/PartnerControls"/>
    </lcf76f155ced4ddcb4097134ff3c332f>
    <TaxCatchAll xmlns="4b720944-d7aa-40c2-ab4d-171c02e34bac" xsi:nil="true"/>
    <_ip_UnifiedCompliancePolicyUIAction xmlns="http://schemas.microsoft.com/sharepoint/v3" xsi:nil="true"/>
    <_ip_UnifiedCompliancePolicyProperties xmlns="http://schemas.microsoft.com/sharepoint/v3" xsi:nil="true"/>
    <SharedWithUsers xmlns="4b720944-d7aa-40c2-ab4d-171c02e34ba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EBFC1D2-9DBA-4252-BBA1-7634D4D7E9C4}"/>
</file>

<file path=customXml/itemProps2.xml><?xml version="1.0" encoding="utf-8"?>
<ds:datastoreItem xmlns:ds="http://schemas.openxmlformats.org/officeDocument/2006/customXml" ds:itemID="{3E976AA3-D34A-496C-80FC-D907A7F3C128}"/>
</file>

<file path=customXml/itemProps3.xml><?xml version="1.0" encoding="utf-8"?>
<ds:datastoreItem xmlns:ds="http://schemas.openxmlformats.org/officeDocument/2006/customXml" ds:itemID="{C16800A2-92F4-4208-A515-E207E13EFB67}"/>
</file>

<file path=docMetadata/LabelInfo.xml><?xml version="1.0" encoding="utf-8"?>
<clbl:labelList xmlns:clbl="http://schemas.microsoft.com/office/2020/mipLabelMetadata">
  <clbl:label id="{8aebc165-46b7-4fdf-ae88-da9a4a0fb142}" enabled="0" method="" siteId="{8aebc165-46b7-4fdf-ae88-da9a4a0fb14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2023-09-11T12:54:02Z</dcterms:created>
  <dcterms:modified xsi:type="dcterms:W3CDTF">2025-01-27T10:17:00Z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0x010100C84760D18C84344EB0C4C14575FE7FC2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